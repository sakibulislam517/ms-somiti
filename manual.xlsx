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5"/>
    <sheet state="visible" name="Payment Details" sheetId="2" r:id="rId6"/>
    <sheet state="visible" name="Costsখরচ" sheetId="3" r:id="rId7"/>
    <sheet state="visible" name="Partner List" sheetId="4" r:id="rId8"/>
    <sheet state="visible" name="Loan" sheetId="5" r:id="rId9"/>
    <sheet state="visible" name="Faysal Sales Portfolio-1" sheetId="6" r:id="rId10"/>
    <sheet state="visible" name="A. Rahim Sales Portfolio-2" sheetId="7" r:id="rId11"/>
    <sheet state="visible" name="Harun Sales Portfolio-3" sheetId="8" r:id="rId12"/>
    <sheet state="visible" name="Salman Sales Portfolio-4" sheetId="9" r:id="rId13"/>
    <sheet state="visible" name="Minhaj Sales Portfolio-5" sheetId="10" r:id="rId14"/>
    <sheet state="visible" name="Riad Sales Portfolio-6" sheetId="11" r:id="rId15"/>
  </sheets>
  <definedNames/>
  <calcPr/>
</workbook>
</file>

<file path=xl/sharedStrings.xml><?xml version="1.0" encoding="utf-8"?>
<sst xmlns="http://schemas.openxmlformats.org/spreadsheetml/2006/main" count="2916" uniqueCount="543">
  <si>
    <t>Balance Sheet</t>
  </si>
  <si>
    <t>Update on 02-09-2026</t>
  </si>
  <si>
    <t>Assets</t>
  </si>
  <si>
    <t>TK</t>
  </si>
  <si>
    <t>Liabilities &amp; Owners equity</t>
  </si>
  <si>
    <t>Bank Deposit</t>
  </si>
  <si>
    <t>Sl.</t>
  </si>
  <si>
    <t>SL</t>
  </si>
  <si>
    <t xml:space="preserve">Title </t>
  </si>
  <si>
    <t>Mohammad Jonaid 1</t>
  </si>
  <si>
    <t>Date</t>
  </si>
  <si>
    <t xml:space="preserve">Amount </t>
  </si>
  <si>
    <t>Paid to</t>
  </si>
  <si>
    <t>Name</t>
  </si>
  <si>
    <t>No of Share</t>
  </si>
  <si>
    <t>TK (Form Fee)</t>
  </si>
  <si>
    <t>Form printing</t>
  </si>
  <si>
    <t>Deposit amount so far</t>
  </si>
  <si>
    <t>Due Amount till August</t>
  </si>
  <si>
    <t xml:space="preserve">Bank Charge as Maintenance Cost </t>
  </si>
  <si>
    <t xml:space="preserve">Bank Account Info </t>
  </si>
  <si>
    <t>Mohammad Jonaid 2</t>
  </si>
  <si>
    <t>Fahim</t>
  </si>
  <si>
    <t>Abdullah Ibne Kabir Fahim</t>
  </si>
  <si>
    <t xml:space="preserve">Cash in Hand (Treasurer) </t>
  </si>
  <si>
    <t>Mohammad Jonaid 3</t>
  </si>
  <si>
    <t xml:space="preserve">Cash in Hand (Faysal) </t>
  </si>
  <si>
    <t>Abdullah Ibne Kabir Fahim 1</t>
  </si>
  <si>
    <t>Cheque Book</t>
  </si>
  <si>
    <t>ID</t>
  </si>
  <si>
    <t>Account Receivable-Faysal (Sale-1)</t>
  </si>
  <si>
    <t>Rickshaw fare (Return from bank)</t>
  </si>
  <si>
    <t>Abdullah Ibne Kabir Fahim 2</t>
  </si>
  <si>
    <t>🏦 ব্যাংকের নাম: Islami Bank Bangladesh PLC.</t>
  </si>
  <si>
    <t>Payment</t>
  </si>
  <si>
    <t>Payment Remarks</t>
  </si>
  <si>
    <t>Account Receivable-Abdur Rahim (Sale-2)</t>
  </si>
  <si>
    <t>Md. Sajid Mahmud</t>
  </si>
  <si>
    <t>Payment Date</t>
  </si>
  <si>
    <t>Fare (During Sales-1)</t>
  </si>
  <si>
    <t>Payment Reference</t>
  </si>
  <si>
    <t>Abdur Rahim 1</t>
  </si>
  <si>
    <t>QIA_01202601</t>
  </si>
  <si>
    <t>Jahid Bin Amin</t>
  </si>
  <si>
    <t>Mohammad Jonaid</t>
  </si>
  <si>
    <t>Fare (Bank-Madrasa-Bank)</t>
  </si>
  <si>
    <t>Md. Jahid Bin Amin</t>
  </si>
  <si>
    <t>QIA_01202602</t>
  </si>
  <si>
    <t>Fare (Bank-Home)</t>
  </si>
  <si>
    <t>18/6/2026</t>
  </si>
  <si>
    <t>🏢 শাখা: Aftabnagar Sub-Branch, Badda, Dhaka</t>
  </si>
  <si>
    <t>QIA_01202603</t>
  </si>
  <si>
    <t>Account Receivable-Johir Jafory (Loan-04)</t>
  </si>
  <si>
    <t>Abdur Rahim 2</t>
  </si>
  <si>
    <t>Ariful Islam Riad</t>
  </si>
  <si>
    <t>QIA_01202604</t>
  </si>
  <si>
    <t>QIA_01202605</t>
  </si>
  <si>
    <t>QIA_01202606</t>
  </si>
  <si>
    <t>Abdur Rahim</t>
  </si>
  <si>
    <t>Account Receivable-Harun (Sale-3)</t>
  </si>
  <si>
    <t>QIA_01202607</t>
  </si>
  <si>
    <t>QIA_01202608</t>
  </si>
  <si>
    <t>MD Ariful Islam Riad</t>
  </si>
  <si>
    <t>QIA_01202609</t>
  </si>
  <si>
    <t>MD Ariful Islam Riad 1</t>
  </si>
  <si>
    <t>QIA_01202610</t>
  </si>
  <si>
    <t>QIA_01202611</t>
  </si>
  <si>
    <t>QIA_01202612</t>
  </si>
  <si>
    <t>Emdadullah</t>
  </si>
  <si>
    <t>QIA_01202613</t>
  </si>
  <si>
    <t>Johir Raihan</t>
  </si>
  <si>
    <t>Account Receivable-Salman (Sale-4)</t>
  </si>
  <si>
    <t>QIA_01202614</t>
  </si>
  <si>
    <t>QIA_01202615</t>
  </si>
  <si>
    <t>QIA_01202616</t>
  </si>
  <si>
    <t>MD Ariful Islam Riad 2</t>
  </si>
  <si>
    <t>QIA_01202617</t>
  </si>
  <si>
    <t>Rakibul Hasan</t>
  </si>
  <si>
    <t>Account Receivable-Minhaj (Sale-5)</t>
  </si>
  <si>
    <t>MD Ariful Islam Riad 3</t>
  </si>
  <si>
    <t>QIA_01202618</t>
  </si>
  <si>
    <t xml:space="preserve">Md. Sajid Mahmud </t>
  </si>
  <si>
    <t>QIA_01202619</t>
  </si>
  <si>
    <t>QIA_01202620</t>
  </si>
  <si>
    <t>MD. Faysal Ahmed</t>
  </si>
  <si>
    <t>📍 শাখার ঠিকানা: Rajlaxmi Complex, Aftabnagar, H-29/W-37, Badda Main Road, PS: Badda, Dhaka</t>
  </si>
  <si>
    <t>Account Receivable-Sajid Mahmood (Loan-07)</t>
  </si>
  <si>
    <t>MD Faysal Ahmed</t>
  </si>
  <si>
    <t>MD Ariful Islam Riad 4</t>
  </si>
  <si>
    <t>QIA_01202621</t>
  </si>
  <si>
    <t>QIA_01202622</t>
  </si>
  <si>
    <t>QIA_01202623</t>
  </si>
  <si>
    <t>Johir Jafory</t>
  </si>
  <si>
    <t>Account Receivable-Faysal (Loan-10)</t>
  </si>
  <si>
    <t>QIA_01202624</t>
  </si>
  <si>
    <t>Emdadullah 1</t>
  </si>
  <si>
    <t>QIA_01202625</t>
  </si>
  <si>
    <t>QIA_01202626</t>
  </si>
  <si>
    <t>QIA_01202627</t>
  </si>
  <si>
    <t>QIA_01202628</t>
  </si>
  <si>
    <t>Account Receivable-Fahim (Loan-11)</t>
  </si>
  <si>
    <t>QIA_01202629</t>
  </si>
  <si>
    <t>Mamun Hossain</t>
  </si>
  <si>
    <t>QIA_01202630</t>
  </si>
  <si>
    <t>Johir Raihan 1</t>
  </si>
  <si>
    <t>QIA_01202631</t>
  </si>
  <si>
    <t>Shorif Mahmood</t>
  </si>
  <si>
    <t>QIA_01202632</t>
  </si>
  <si>
    <t>Harun Or Rosid</t>
  </si>
  <si>
    <t>QIA_01202633</t>
  </si>
  <si>
    <t>QIA_01202634</t>
  </si>
  <si>
    <t>QIA_01202635</t>
  </si>
  <si>
    <t>Account Receivable-Riad (Sale-6)</t>
  </si>
  <si>
    <t>MD Neyamot Ullah</t>
  </si>
  <si>
    <t>👤 Account Name: Md. Faysal Ahmed, Sajid, Fahim, Riad and Jahirul Islam</t>
  </si>
  <si>
    <t>On-time</t>
  </si>
  <si>
    <t>Johir Raihan 2</t>
  </si>
  <si>
    <t>01/09/2026</t>
  </si>
  <si>
    <t>9626090100145479</t>
  </si>
  <si>
    <t>QIA_01202636</t>
  </si>
  <si>
    <t>Minhajur Rahman</t>
  </si>
  <si>
    <t>QIA_01202637</t>
  </si>
  <si>
    <t xml:space="preserve">Account Receivable- Sharif Mahmud (Loan-12) </t>
  </si>
  <si>
    <t>QIA_01202638</t>
  </si>
  <si>
    <t>QIA_01202639</t>
  </si>
  <si>
    <t>Johir Raihan 3</t>
  </si>
  <si>
    <t>QIA_01202640</t>
  </si>
  <si>
    <t>QIA_01202641</t>
  </si>
  <si>
    <t>QIA_01202642</t>
  </si>
  <si>
    <t>QIA_01202643</t>
  </si>
  <si>
    <t>QIA_01202644</t>
  </si>
  <si>
    <t>Account Receivable- Neyamot Ullah (Loan-13)</t>
  </si>
  <si>
    <t>QIA_01202645</t>
  </si>
  <si>
    <t>QIA_01202646</t>
  </si>
  <si>
    <t>QIA_01202647</t>
  </si>
  <si>
    <t>Md. Sajid Mahmud 1</t>
  </si>
  <si>
    <t>QIA_01202648</t>
  </si>
  <si>
    <t>QIA_01202649</t>
  </si>
  <si>
    <t>QIA_01202650</t>
  </si>
  <si>
    <t>QIA_01202651</t>
  </si>
  <si>
    <t>QIA_01202652</t>
  </si>
  <si>
    <t>🔢 Account Number: 20506470200276102</t>
  </si>
  <si>
    <t>Md. Sajid Mahmud 2</t>
  </si>
  <si>
    <t>QIA_01202653</t>
  </si>
  <si>
    <t>Atiqure Rhaman</t>
  </si>
  <si>
    <t>Md. Sajid Mahmud  3</t>
  </si>
  <si>
    <t>Md. Sajid Mahmud 4</t>
  </si>
  <si>
    <t>Sharif Mahmood</t>
  </si>
  <si>
    <t>Due</t>
  </si>
  <si>
    <t>MD. Faysal Ahmed 1</t>
  </si>
  <si>
    <t>05/08/2026</t>
  </si>
  <si>
    <t>9626080500015261</t>
  </si>
  <si>
    <t>MD. Faysal Ahmed 2</t>
  </si>
  <si>
    <t>📅 Opening Date: 19 February 2026</t>
  </si>
  <si>
    <t>MD. Faysal Ahmed 3</t>
  </si>
  <si>
    <t>Johir Jafory 1</t>
  </si>
  <si>
    <t>Johir Jafory 2</t>
  </si>
  <si>
    <t>Loan-01</t>
  </si>
  <si>
    <t>Johir Jafory 3</t>
  </si>
  <si>
    <t>03/08/2026</t>
  </si>
  <si>
    <t>9626080300010003</t>
  </si>
  <si>
    <t>🆔 Customer ID: 6470700013312</t>
  </si>
  <si>
    <t>Details</t>
  </si>
  <si>
    <t>Md. Jahid Bin Amin 1</t>
  </si>
  <si>
    <t>Details (Payment)</t>
  </si>
  <si>
    <t>15/03/2026</t>
  </si>
  <si>
    <t xml:space="preserve">Account Receiveable (Fahim) </t>
  </si>
  <si>
    <t>Md. Jahid Bin Amin 2</t>
  </si>
  <si>
    <t>Rakibul Hasan 1</t>
  </si>
  <si>
    <t xml:space="preserve">Paid </t>
  </si>
  <si>
    <t>04/08/2026</t>
  </si>
  <si>
    <t>9626080400132741</t>
  </si>
  <si>
    <t>Loan-02</t>
  </si>
  <si>
    <t>Mamun Hossain 1</t>
  </si>
  <si>
    <t xml:space="preserve">Account Receiveable (Johir Raihan) </t>
  </si>
  <si>
    <t>Rakibul Hasan 2</t>
  </si>
  <si>
    <t>Loan-03</t>
  </si>
  <si>
    <t>Shorif Mahmood 1</t>
  </si>
  <si>
    <t>9626080300113790</t>
  </si>
  <si>
    <t xml:space="preserve">Account Receiveable (Riad) </t>
  </si>
  <si>
    <t>Payment-1</t>
  </si>
  <si>
    <t>Harun Or Rosid 1</t>
  </si>
  <si>
    <t>16/05/2026</t>
  </si>
  <si>
    <t>Payment-2</t>
  </si>
  <si>
    <t>22/05/2026</t>
  </si>
  <si>
    <t>Payment-3</t>
  </si>
  <si>
    <t>Rakibul Hasan 3</t>
  </si>
  <si>
    <t>17</t>
  </si>
  <si>
    <t>Atiqure Rahman</t>
  </si>
  <si>
    <t>Loan-04</t>
  </si>
  <si>
    <t>1</t>
  </si>
  <si>
    <t>100</t>
  </si>
  <si>
    <t>Rakibul Hasan 4</t>
  </si>
  <si>
    <t xml:space="preserve">Account Receiveable (J. Jafory) </t>
  </si>
  <si>
    <t>MD Neyamot Ullah 1</t>
  </si>
  <si>
    <t>Loan-05</t>
  </si>
  <si>
    <t>Minhajur Rahman 1</t>
  </si>
  <si>
    <t xml:space="preserve">Account Receiveable (J. Raihan) </t>
  </si>
  <si>
    <t>28/04/2026</t>
  </si>
  <si>
    <t>3426042800006912</t>
  </si>
  <si>
    <t>Minhajur Rahman 2</t>
  </si>
  <si>
    <t>Minhajur Rahman 3</t>
  </si>
  <si>
    <t>Loan-06</t>
  </si>
  <si>
    <t>9626080500027546</t>
  </si>
  <si>
    <t>Minhajur Rahman 4</t>
  </si>
  <si>
    <t>21/04/2026</t>
  </si>
  <si>
    <t>Abdur Rahim 3</t>
  </si>
  <si>
    <t>9626080300010706</t>
  </si>
  <si>
    <t>3426060200100351</t>
  </si>
  <si>
    <t>Abdur Rahim 4</t>
  </si>
  <si>
    <t>Loan-07</t>
  </si>
  <si>
    <t>MD Ariful Islam Riad 5</t>
  </si>
  <si>
    <t xml:space="preserve">Account Receiveable (Sajid) </t>
  </si>
  <si>
    <t>10.08.2026</t>
  </si>
  <si>
    <t>Johir Jafory 4</t>
  </si>
  <si>
    <t>Cash (Reciept No: 28)</t>
  </si>
  <si>
    <t>Abdullah Ibne Kabir Fahim 3</t>
  </si>
  <si>
    <t>Loan-08</t>
  </si>
  <si>
    <t>08/08/2026</t>
  </si>
  <si>
    <t>Cash (Reciept No: 26)</t>
  </si>
  <si>
    <t xml:space="preserve">Account Receiveable (A. Rahim) </t>
  </si>
  <si>
    <t>Abdullah Ibne Kabir Fahim 4</t>
  </si>
  <si>
    <t>27/06/2026</t>
  </si>
  <si>
    <t>Cash</t>
  </si>
  <si>
    <t>Rakibul Hasan 5</t>
  </si>
  <si>
    <t>Paid</t>
  </si>
  <si>
    <t>Johir Raihan 4</t>
  </si>
  <si>
    <t>Loan-09</t>
  </si>
  <si>
    <t>09/08/2026</t>
  </si>
  <si>
    <t>Cash (Reciept No: 27)</t>
  </si>
  <si>
    <t>Johir Raihan 5</t>
  </si>
  <si>
    <t>Cash (Reciept No: 25)</t>
  </si>
  <si>
    <t>Johir Raihan 6</t>
  </si>
  <si>
    <t>Loan-10</t>
  </si>
  <si>
    <t xml:space="preserve">Account Receiveable (Faysal) </t>
  </si>
  <si>
    <t>Johir Raihan 7</t>
  </si>
  <si>
    <t>Loan-11</t>
  </si>
  <si>
    <t>Johir Raihan 8</t>
  </si>
  <si>
    <t>14/06/2026</t>
  </si>
  <si>
    <t>Account Receivable- (Fahim)</t>
  </si>
  <si>
    <t>31/07/2026</t>
  </si>
  <si>
    <t>Johir Raihan 9</t>
  </si>
  <si>
    <t>Atiqure Rahman 1</t>
  </si>
  <si>
    <t>Loan-12</t>
  </si>
  <si>
    <t>30/07/2026</t>
  </si>
  <si>
    <t xml:space="preserve">Account Receivable- (Sharif Mahmud) </t>
  </si>
  <si>
    <t>Combined equity from sale-01</t>
  </si>
  <si>
    <t>Loan-13</t>
  </si>
  <si>
    <t>Combined equity from sale-02</t>
  </si>
  <si>
    <t>Combined equity from sale-03</t>
  </si>
  <si>
    <t>Combined equity from sale-04</t>
  </si>
  <si>
    <t>Combined equity from sale-05</t>
  </si>
  <si>
    <t>Combined equity from sale-06</t>
  </si>
  <si>
    <t>19/08/2026</t>
  </si>
  <si>
    <t xml:space="preserve">Account Receivable- (Neyamot Ullah) </t>
  </si>
  <si>
    <t>Total</t>
  </si>
  <si>
    <t>Sales Portfolio-1</t>
  </si>
  <si>
    <t>Invoice No.</t>
  </si>
  <si>
    <t>QIA-INV-01</t>
  </si>
  <si>
    <t>Issue Date</t>
  </si>
  <si>
    <t>9626080800025884</t>
  </si>
  <si>
    <t>Customer Name</t>
  </si>
  <si>
    <t>Phone Number</t>
  </si>
  <si>
    <t>01608-775580</t>
  </si>
  <si>
    <t>Adress</t>
  </si>
  <si>
    <t>Aftabnagar, Dhaka</t>
  </si>
  <si>
    <t>Sl</t>
  </si>
  <si>
    <t>Item Description</t>
  </si>
  <si>
    <t>Quantity</t>
  </si>
  <si>
    <t>Unit Price</t>
  </si>
  <si>
    <t>Total Price</t>
  </si>
  <si>
    <t>Cost Price</t>
  </si>
  <si>
    <t>Gross Profit</t>
  </si>
  <si>
    <t>Hero XOOM 125R FI</t>
  </si>
  <si>
    <t>Acrued</t>
  </si>
  <si>
    <t>20/08/2026</t>
  </si>
  <si>
    <t>9626082000124683</t>
  </si>
  <si>
    <t>Grand Total: (Two Lakh Sixty Thousand Five Hundred Taka Only)</t>
  </si>
  <si>
    <t>10/08/2026</t>
  </si>
  <si>
    <t xml:space="preserve"> 9626081000011889 </t>
  </si>
  <si>
    <t>Amount Paid</t>
  </si>
  <si>
    <t>Amount Due</t>
  </si>
  <si>
    <t>07/08/2026</t>
  </si>
  <si>
    <t>Invested Amount</t>
  </si>
  <si>
    <t>9626080700022213</t>
  </si>
  <si>
    <t>Estimated Gross Profit</t>
  </si>
  <si>
    <t>9626081000140588</t>
  </si>
  <si>
    <t>9626080400034524</t>
  </si>
  <si>
    <t>Sales Portfolio-3</t>
  </si>
  <si>
    <t>QIA-INV-03</t>
  </si>
  <si>
    <t>Sales Portfolio-2</t>
  </si>
  <si>
    <t>Chauddagram, Dhaka</t>
  </si>
  <si>
    <t>QIA-INV-02</t>
  </si>
  <si>
    <t>S74600343</t>
  </si>
  <si>
    <t xml:space="preserve">Hafsa Begum </t>
  </si>
  <si>
    <t>Gold</t>
  </si>
  <si>
    <t>15 Ana</t>
  </si>
  <si>
    <t>Pirojpur Sadar, Pirojpur</t>
  </si>
  <si>
    <t>2,44,000</t>
  </si>
  <si>
    <t>2,00,000</t>
  </si>
  <si>
    <t>Grand Total: (Two Lac Forty Four Thousand Taka Only)</t>
  </si>
  <si>
    <t>Door-Window, Angle, Tin, Rod</t>
  </si>
  <si>
    <t>1,23,050</t>
  </si>
  <si>
    <t>1,00,000</t>
  </si>
  <si>
    <t>Grand Total: (One Lakh Twenty Three Thousand Fifty Taka Only)</t>
  </si>
  <si>
    <t>1,21,000</t>
  </si>
  <si>
    <t>9626080900063655</t>
  </si>
  <si>
    <t>Installment Payment Schedule (24 Months)</t>
  </si>
  <si>
    <t>9626080700060534</t>
  </si>
  <si>
    <t>Month</t>
  </si>
  <si>
    <t>Installment (BDT)</t>
  </si>
  <si>
    <t>Remaining Due (BDT)</t>
  </si>
  <si>
    <t>Remarks</t>
  </si>
  <si>
    <t>N/A</t>
  </si>
  <si>
    <t>3426050600158442</t>
  </si>
  <si>
    <t>Adjusted to Loan-10</t>
  </si>
  <si>
    <t>Installment Payment Schedule (18 Months)</t>
  </si>
  <si>
    <t>3426050400054338</t>
  </si>
  <si>
    <t>Final Payment</t>
  </si>
  <si>
    <t>Installment Payment Schedule (12 Months)</t>
  </si>
  <si>
    <t>3426052100154137</t>
  </si>
  <si>
    <t>Total Payment</t>
  </si>
  <si>
    <t>Cash (Reciept No: 06)</t>
  </si>
  <si>
    <t>3426050300163061</t>
  </si>
  <si>
    <t>3426052200103937</t>
  </si>
  <si>
    <t>Cash (Reciept No: 17)</t>
  </si>
  <si>
    <t>9626080400135993</t>
  </si>
  <si>
    <t>06/08/2026</t>
  </si>
  <si>
    <t>9626080600017215</t>
  </si>
  <si>
    <t>9626080600074663</t>
  </si>
  <si>
    <t>02/07/2026</t>
  </si>
  <si>
    <t>Sales Portfolio-4</t>
  </si>
  <si>
    <t>Cash (Reciept No: 04)</t>
  </si>
  <si>
    <t>Sales Portfolio-5</t>
  </si>
  <si>
    <t>QIA-INV-04</t>
  </si>
  <si>
    <t>Salman</t>
  </si>
  <si>
    <t>Tejgaon, Dhaka</t>
  </si>
  <si>
    <t>QIA-INV-05</t>
  </si>
  <si>
    <t>Sakibul Islam</t>
  </si>
  <si>
    <t>Gold (22K)</t>
  </si>
  <si>
    <t>2 Ana</t>
  </si>
  <si>
    <t>Sales Portfolio-6</t>
  </si>
  <si>
    <t>Monohardi, Narsingdi</t>
  </si>
  <si>
    <t>Grand Total: (Forty Thousand Five Hundred Thirty Five Taka Only)</t>
  </si>
  <si>
    <t>Laptop, Chair, Furniture</t>
  </si>
  <si>
    <t>2,90,000</t>
  </si>
  <si>
    <t>2,50,000</t>
  </si>
  <si>
    <t>QIA-INV-06</t>
  </si>
  <si>
    <t>Grand Total: (Two Lac Ninety Thousand Taka Only)</t>
  </si>
  <si>
    <t>01632-343323</t>
  </si>
  <si>
    <t>Katiadi, Kishorganj</t>
  </si>
  <si>
    <t>05/07/2026</t>
  </si>
  <si>
    <t>Cash (Reciept No: 09)</t>
  </si>
  <si>
    <t>Bike (HONDA SP 125)</t>
  </si>
  <si>
    <t>1,93,720</t>
  </si>
  <si>
    <t>Grand Total: (One Lac Ninety Three Thousand Seven Hundred Twenty Taka Only)</t>
  </si>
  <si>
    <t>Cash (Reciept No: 05)</t>
  </si>
  <si>
    <t>Cash (Reciept No: 08)</t>
  </si>
  <si>
    <t>06/07/2026</t>
  </si>
  <si>
    <t>Cash (Reciept No: 14)</t>
  </si>
  <si>
    <t>3426050400025415</t>
  </si>
  <si>
    <t>3426060700068465</t>
  </si>
  <si>
    <t>Cash (Reciept No: 16)</t>
  </si>
  <si>
    <t>9626080600016286</t>
  </si>
  <si>
    <t>14/07/2026</t>
  </si>
  <si>
    <t>Cash (Reciept No: 21)</t>
  </si>
  <si>
    <t>Cash (Reciept No: 15)</t>
  </si>
  <si>
    <t>9626081100082784</t>
  </si>
  <si>
    <t>Cash (Reciept No: 07)</t>
  </si>
  <si>
    <t>09/07/2026</t>
  </si>
  <si>
    <t>Cash (Reciept No: 19)</t>
  </si>
  <si>
    <t>Cash (Reciept No: 20)</t>
  </si>
  <si>
    <t>Cash (Reciept No: 12)</t>
  </si>
  <si>
    <t>19/07/2026</t>
  </si>
  <si>
    <t>Cash (Reciept No: 23)</t>
  </si>
  <si>
    <t>Cash (Reciept No: 13)</t>
  </si>
  <si>
    <t>Cash (Reciept No: 18)</t>
  </si>
  <si>
    <t>Cash (Reciept No: 10)</t>
  </si>
  <si>
    <t>20506470200276102</t>
  </si>
  <si>
    <t>Cash (Reciept No: 11)</t>
  </si>
  <si>
    <t>Cash (Reciept No: 22)</t>
  </si>
  <si>
    <t>Accrued</t>
  </si>
  <si>
    <t>Cash (Reciept No: 24)</t>
  </si>
  <si>
    <t>21/05/2026</t>
  </si>
  <si>
    <t>3426052100091554</t>
  </si>
  <si>
    <t>Adjusted to Loan-7</t>
  </si>
  <si>
    <t>03/06/2026</t>
  </si>
  <si>
    <t>9626060300029396</t>
  </si>
  <si>
    <t>Adjusted to Loan-8</t>
  </si>
  <si>
    <t>08/06/2026</t>
  </si>
  <si>
    <t>342606800014091</t>
  </si>
  <si>
    <t>Adjusted to Loan-9</t>
  </si>
  <si>
    <t>3426052100127516</t>
  </si>
  <si>
    <t>02/06/2026</t>
  </si>
  <si>
    <t>9626060200012111</t>
  </si>
  <si>
    <t>09/06/2026</t>
  </si>
  <si>
    <t>9626060900019912</t>
  </si>
  <si>
    <t>06/06/2026</t>
  </si>
  <si>
    <t>9626060600003674</t>
  </si>
  <si>
    <t>3426052100157165</t>
  </si>
  <si>
    <t xml:space="preserve"> 9626060600003564</t>
  </si>
  <si>
    <t>9626052200007568</t>
  </si>
  <si>
    <t>11/06/2026</t>
  </si>
  <si>
    <t>Cash (Reciept No: 01)</t>
  </si>
  <si>
    <t>3426060800011003</t>
  </si>
  <si>
    <t>13/06/2026</t>
  </si>
  <si>
    <t>Cash (Reciept No: 02)</t>
  </si>
  <si>
    <t>9626060800033966</t>
  </si>
  <si>
    <t>10/06/2026</t>
  </si>
  <si>
    <t>9626060900038358</t>
  </si>
  <si>
    <t>9626061000041975</t>
  </si>
  <si>
    <t>04/05/2026</t>
  </si>
  <si>
    <t>34226050400069751</t>
  </si>
  <si>
    <t>09/05/2026</t>
  </si>
  <si>
    <t>3426050900092205</t>
  </si>
  <si>
    <t>03/05/2026</t>
  </si>
  <si>
    <t>05/05/2026</t>
  </si>
  <si>
    <t>3426050500168022</t>
  </si>
  <si>
    <t>3426050300162293</t>
  </si>
  <si>
    <t>06/05/2026</t>
  </si>
  <si>
    <t>3426050600078681</t>
  </si>
  <si>
    <t>3426050500098068</t>
  </si>
  <si>
    <t>07/05/2026</t>
  </si>
  <si>
    <t>7040587</t>
  </si>
  <si>
    <t>IBBL0966</t>
  </si>
  <si>
    <t>3426050400009758</t>
  </si>
  <si>
    <t>3426050500170273</t>
  </si>
  <si>
    <t>3426050300155893</t>
  </si>
  <si>
    <t>08/05/2026</t>
  </si>
  <si>
    <t>3426050800116608</t>
  </si>
  <si>
    <t>3426050400053070</t>
  </si>
  <si>
    <t>3426050400027181</t>
  </si>
  <si>
    <t>3426052100110148</t>
  </si>
  <si>
    <t>3426050400140429</t>
  </si>
  <si>
    <t>3426050400130888</t>
  </si>
  <si>
    <t>14/05/2026</t>
  </si>
  <si>
    <t>9626051400042603</t>
  </si>
  <si>
    <t>3426050900068569</t>
  </si>
  <si>
    <t>10/05/2026</t>
  </si>
  <si>
    <t xml:space="preserve">9626051000032660	</t>
  </si>
  <si>
    <t>01/04/2026</t>
  </si>
  <si>
    <t>3426040100125179</t>
  </si>
  <si>
    <t>02/04/2026</t>
  </si>
  <si>
    <t>3426040200009012</t>
  </si>
  <si>
    <t>3426040100133391</t>
  </si>
  <si>
    <t>3426040200137029</t>
  </si>
  <si>
    <t>3426040100122871</t>
  </si>
  <si>
    <t>3426040100122790</t>
  </si>
  <si>
    <t>From ATM</t>
  </si>
  <si>
    <t>07/04/2026</t>
  </si>
  <si>
    <t>3426040700148600</t>
  </si>
  <si>
    <t>10/04/2026</t>
  </si>
  <si>
    <t>3426041000044624</t>
  </si>
  <si>
    <t>3426040100116633</t>
  </si>
  <si>
    <t>05/04/2026</t>
  </si>
  <si>
    <t>Adjusted to Loan App-04</t>
  </si>
  <si>
    <t>3426040100129840</t>
  </si>
  <si>
    <t>3426040200006917</t>
  </si>
  <si>
    <t>3426040100122459</t>
  </si>
  <si>
    <t>06/04/2026</t>
  </si>
  <si>
    <t>3426040600078429</t>
  </si>
  <si>
    <t>3426040100153704</t>
  </si>
  <si>
    <t>34260250400024865</t>
  </si>
  <si>
    <t>3426040100127954</t>
  </si>
  <si>
    <t>3426040600028060</t>
  </si>
  <si>
    <t>3426040200008827</t>
  </si>
  <si>
    <t>3426040100142387</t>
  </si>
  <si>
    <t>08/04/2026</t>
  </si>
  <si>
    <t>342604800153504</t>
  </si>
  <si>
    <t>3426041000040185</t>
  </si>
  <si>
    <t>4/3/2026</t>
  </si>
  <si>
    <t>3426030400022780</t>
  </si>
  <si>
    <t>03/03/2026</t>
  </si>
  <si>
    <t>3426030300187084</t>
  </si>
  <si>
    <t>3426030300020785</t>
  </si>
  <si>
    <t>8/3/2026</t>
  </si>
  <si>
    <t>3426030800038743</t>
  </si>
  <si>
    <t>5/3/2026</t>
  </si>
  <si>
    <t>3426030500025497</t>
  </si>
  <si>
    <t>3426030300184083</t>
  </si>
  <si>
    <t>Advance</t>
  </si>
  <si>
    <t>26/2/2026</t>
  </si>
  <si>
    <t>3426022600026896</t>
  </si>
  <si>
    <t>3426030300151507</t>
  </si>
  <si>
    <t>05/03/2026</t>
  </si>
  <si>
    <t>3426030600011977</t>
  </si>
  <si>
    <t>on-time</t>
  </si>
  <si>
    <t>08/03/2026</t>
  </si>
  <si>
    <t>3426030800172815</t>
  </si>
  <si>
    <t>3426030300152010</t>
  </si>
  <si>
    <t>3426030400033407</t>
  </si>
  <si>
    <t>3426030300154575</t>
  </si>
  <si>
    <t>34260305000005061</t>
  </si>
  <si>
    <t>3426030300092940</t>
  </si>
  <si>
    <t>3426030400083457</t>
  </si>
  <si>
    <t>3426030400024390</t>
  </si>
  <si>
    <t>3/3/2026</t>
  </si>
  <si>
    <t>2600007266</t>
  </si>
  <si>
    <t>16/3/2026</t>
  </si>
  <si>
    <t>3426031600022694</t>
  </si>
  <si>
    <t>S24579953</t>
  </si>
  <si>
    <t>01/04/2025</t>
  </si>
  <si>
    <t>3426040100158679</t>
  </si>
  <si>
    <t>3426030500042308</t>
  </si>
  <si>
    <t>29/3/2026</t>
  </si>
  <si>
    <t>3426032900084607</t>
  </si>
  <si>
    <t>3426032900030443</t>
  </si>
  <si>
    <t>6/3/2026</t>
  </si>
  <si>
    <t>3426030600072002</t>
  </si>
  <si>
    <t>48260308034485</t>
  </si>
  <si>
    <t>3426041000044211</t>
  </si>
  <si>
    <t>12/05/2026</t>
  </si>
  <si>
    <t>9626051200038964</t>
  </si>
  <si>
    <t>3/2/2026</t>
  </si>
  <si>
    <t>3426020300020549</t>
  </si>
  <si>
    <t>3426022600029235</t>
  </si>
  <si>
    <t>22/2/2026</t>
  </si>
  <si>
    <t>3426022200021887</t>
  </si>
  <si>
    <t>3426020300020444</t>
  </si>
  <si>
    <t>3426020300023017</t>
  </si>
  <si>
    <t>4/2/2026</t>
  </si>
  <si>
    <t>3426020400086227</t>
  </si>
  <si>
    <t>19/2/2026</t>
  </si>
  <si>
    <t>3426021900033448</t>
  </si>
  <si>
    <t>3426030300149114</t>
  </si>
  <si>
    <t>3426020300021097</t>
  </si>
  <si>
    <t>3426020300021644</t>
  </si>
  <si>
    <t>3426022200115792</t>
  </si>
  <si>
    <t>17/2/2026</t>
  </si>
  <si>
    <t>Modhupur Br. Tangail</t>
  </si>
  <si>
    <t>9/2/2026</t>
  </si>
  <si>
    <t>3426020900028765</t>
  </si>
  <si>
    <t>3426020900029688</t>
  </si>
  <si>
    <t>12/2/2026</t>
  </si>
  <si>
    <t>3426021000005592</t>
  </si>
  <si>
    <t>23/2/2026</t>
  </si>
  <si>
    <t>3426022300016706</t>
  </si>
  <si>
    <t>3426030500005061</t>
  </si>
  <si>
    <t>3426030500005451</t>
  </si>
  <si>
    <t>3426040100127011</t>
  </si>
  <si>
    <t>48260308034485 &amp; Adj</t>
  </si>
  <si>
    <t>11/05/2026</t>
  </si>
  <si>
    <t>9626051100023926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</si>
</sst>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mm/yyyy"/>
    <numFmt numFmtId="166" formatCode="mm/dd/yyyy"/>
    <numFmt numFmtId="167" formatCode="d mmmm yyyy"/>
    <numFmt numFmtId="168" formatCode="mmmm-yyyy"/>
    <numFmt numFmtId="169" formatCode="M/d/yyyy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Roboto"/>
    </font>
    <font>
      <color theme="1"/>
      <name val="Arial"/>
    </font>
    <font>
      <sz val="11.0"/>
      <color rgb="FFFF0000"/>
      <name val="Calibri"/>
    </font>
    <font>
      <color rgb="FF000000"/>
      <name val="Arial"/>
      <scheme val="minor"/>
    </font>
    <font>
      <b/>
      <sz val="14.0"/>
      <color theme="1"/>
      <name val="Arial"/>
      <scheme val="minor"/>
    </font>
    <font/>
    <font>
      <color rgb="FF000000"/>
      <name val="Arial"/>
    </font>
    <font>
      <color theme="1"/>
      <name val="NotoSans"/>
    </font>
    <font>
      <b/>
      <sz val="11.0"/>
      <color rgb="FF000000"/>
      <name val="Calibri"/>
    </font>
    <font>
      <b/>
      <sz val="14.0"/>
      <color theme="1"/>
      <name val="Arial"/>
    </font>
    <font>
      <sz val="15.0"/>
      <color theme="1"/>
      <name val="Arial"/>
      <scheme val="minor"/>
    </font>
    <font>
      <sz val="12.0"/>
      <color theme="1"/>
      <name val="'Sitka Small Semibold'"/>
    </font>
    <font>
      <sz val="12.0"/>
      <color theme="1"/>
      <name val="'Times New Roman'"/>
    </font>
    <font>
      <sz val="12.0"/>
      <color theme="1"/>
      <name val="Arial"/>
    </font>
    <font>
      <b/>
      <sz val="12.0"/>
      <color theme="1"/>
      <name val="'Times New Roman'"/>
    </font>
    <font>
      <color theme="1"/>
      <name val="'Times New Roman'"/>
    </font>
    <font>
      <b/>
      <sz val="12.0"/>
      <color theme="1"/>
      <name val="'Sitka Small Semibold'"/>
    </font>
    <font>
      <i/>
      <sz val="12.0"/>
      <color theme="1"/>
      <name val="'Sitka Small Semibold'"/>
    </font>
    <font>
      <sz val="12.0"/>
      <color theme="1"/>
      <name val="&quot;Times New Roman&quot;"/>
    </font>
    <font>
      <sz val="15.0"/>
      <color theme="1"/>
      <name val="Arial"/>
    </font>
    <font>
      <color rgb="FF000000"/>
      <name val="Roboto"/>
    </font>
    <font>
      <b/>
      <sz val="12.0"/>
      <color theme="1"/>
      <name val="&quot;Times New Roman&quot;"/>
    </font>
    <font>
      <i/>
      <sz val="12.0"/>
      <color theme="1"/>
      <name val="Arial"/>
    </font>
    <font>
      <sz val="12.0"/>
      <color theme="1"/>
      <name val="Sitka Small Semibold"/>
    </font>
    <font>
      <sz val="12.0"/>
      <color theme="1"/>
      <name val="Times New Roman"/>
    </font>
    <font>
      <b/>
      <sz val="12.0"/>
      <color theme="1"/>
      <name val="Times New Roman"/>
    </font>
    <font>
      <b/>
      <sz val="12.0"/>
      <color theme="1"/>
      <name val="Sitka Small Semibold"/>
    </font>
    <font>
      <sz val="11.0"/>
      <color theme="1"/>
      <name val="Times New Roman"/>
    </font>
    <font>
      <color rgb="FF000000"/>
      <name val="NotoSans"/>
    </font>
    <font>
      <color rgb="FFFF0000"/>
      <name val="Arial"/>
      <scheme val="minor"/>
    </font>
    <font>
      <sz val="11.0"/>
      <color rgb="FF38761D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EF2CC"/>
        <bgColor rgb="FFFEF2CC"/>
      </patternFill>
    </fill>
    <fill>
      <patternFill patternType="solid">
        <fgColor rgb="FFFFF2CD"/>
        <bgColor rgb="FFFFF2C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3" xfId="0" applyAlignment="1" applyBorder="1" applyFont="1" applyNumberFormat="1">
      <alignment readingOrder="0"/>
    </xf>
    <xf borderId="0" fillId="0" fontId="6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 shrinkToFit="0" vertical="center" wrapText="0"/>
    </xf>
    <xf borderId="2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7" numFmtId="49" xfId="0" applyAlignment="1" applyFont="1" applyNumberFormat="1">
      <alignment horizontal="center" readingOrder="0" shrinkToFit="0" vertical="center" wrapText="0"/>
    </xf>
    <xf borderId="2" fillId="3" fontId="1" numFmtId="3" xfId="0" applyAlignment="1" applyBorder="1" applyFill="1" applyFont="1" applyNumberFormat="1">
      <alignment readingOrder="0"/>
    </xf>
    <xf borderId="1" fillId="4" fontId="8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/>
    </xf>
    <xf borderId="1" fillId="4" fontId="9" numFmtId="0" xfId="0" applyAlignment="1" applyBorder="1" applyFill="1" applyFont="1">
      <alignment horizontal="center" shrinkToFit="0" wrapText="0"/>
    </xf>
    <xf borderId="1" fillId="5" fontId="8" numFmtId="49" xfId="0" applyAlignment="1" applyBorder="1" applyFill="1" applyFont="1" applyNumberFormat="1">
      <alignment horizontal="center"/>
    </xf>
    <xf borderId="1" fillId="5" fontId="8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 shrinkToFit="0" wrapText="0"/>
    </xf>
    <xf borderId="1" fillId="4" fontId="9" numFmtId="0" xfId="0" applyAlignment="1" applyBorder="1" applyFill="1" applyFont="1">
      <alignment horizontal="center" shrinkToFit="0" wrapText="0"/>
    </xf>
    <xf borderId="1" fillId="5" fontId="10" numFmtId="0" xfId="0" applyBorder="1" applyFill="1" applyFont="1"/>
    <xf borderId="0" fillId="0" fontId="1" numFmtId="0" xfId="0" applyFont="1"/>
    <xf borderId="1" fillId="5" fontId="10" numFmtId="0" xfId="0" applyBorder="1" applyFill="1" applyFont="1"/>
    <xf borderId="1" fillId="5" fontId="10" numFmtId="49" xfId="0" applyBorder="1" applyFill="1" applyFont="1" applyNumberFormat="1"/>
    <xf borderId="1" fillId="4" fontId="10" numFmtId="0" xfId="0" applyBorder="1" applyFill="1" applyFont="1"/>
    <xf borderId="1" fillId="5" fontId="11" numFmtId="49" xfId="0" applyAlignment="1" applyBorder="1" applyFill="1" applyFont="1" applyNumberFormat="1">
      <alignment horizontal="center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3" fontId="1" numFmtId="3" xfId="0" applyAlignment="1" applyBorder="1" applyFill="1" applyFont="1" applyNumberFormat="1">
      <alignment readingOrder="0"/>
    </xf>
    <xf borderId="1" fillId="0" fontId="12" numFmtId="0" xfId="0" applyAlignment="1" applyBorder="1" applyFont="1">
      <alignment horizontal="center" readingOrder="0"/>
    </xf>
    <xf borderId="1" fillId="5" fontId="3" numFmtId="49" xfId="0" applyAlignment="1" applyBorder="1" applyFill="1" applyFont="1" applyNumberFormat="1">
      <alignment horizontal="center" readingOrder="0" shrinkToFit="0" wrapText="0"/>
    </xf>
    <xf borderId="1" fillId="0" fontId="12" numFmtId="0" xfId="0" applyAlignment="1" applyBorder="1" applyFont="1">
      <alignment horizontal="center" readingOrder="0"/>
    </xf>
    <xf borderId="1" fillId="0" fontId="1" numFmtId="0" xfId="0" applyBorder="1" applyFont="1"/>
    <xf borderId="2" fillId="0" fontId="1" numFmtId="0" xfId="0" applyBorder="1" applyFont="1"/>
    <xf borderId="1" fillId="6" fontId="3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5" fontId="3" numFmtId="49" xfId="0" applyAlignment="1" applyBorder="1" applyFill="1" applyFont="1" applyNumberFormat="1">
      <alignment horizontal="center" readingOrder="0" shrinkToFit="0" vertical="center" wrapText="0"/>
    </xf>
    <xf borderId="1" fillId="0" fontId="12" numFmtId="49" xfId="0" applyAlignment="1" applyBorder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/>
    </xf>
    <xf borderId="2" fillId="0" fontId="13" numFmtId="0" xfId="0" applyAlignment="1" applyBorder="1" applyFont="1">
      <alignment horizontal="center" readingOrder="0"/>
    </xf>
    <xf borderId="6" fillId="0" fontId="14" numFmtId="0" xfId="0" applyBorder="1" applyFont="1"/>
    <xf borderId="4" fillId="0" fontId="14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 readingOrder="0"/>
    </xf>
    <xf borderId="0" fillId="0" fontId="1" numFmtId="0" xfId="0" applyFont="1"/>
    <xf borderId="1" fillId="7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0" fillId="0" fontId="1" numFmtId="3" xfId="0" applyFont="1" applyNumberFormat="1"/>
    <xf borderId="5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5" fillId="0" fontId="3" numFmtId="0" xfId="0" applyAlignment="1" applyBorder="1" applyFont="1">
      <alignment horizontal="center" readingOrder="0" shrinkToFit="0" wrapText="0"/>
    </xf>
    <xf borderId="1" fillId="4" fontId="15" numFmtId="0" xfId="0" applyAlignment="1" applyBorder="1" applyFill="1" applyFont="1">
      <alignment horizontal="center" readingOrder="0" vertical="top"/>
    </xf>
    <xf borderId="1" fillId="4" fontId="15" numFmtId="0" xfId="0" applyAlignment="1" applyBorder="1" applyFill="1" applyFont="1">
      <alignment horizontal="right" readingOrder="0" vertical="top"/>
    </xf>
    <xf borderId="1" fillId="4" fontId="16" numFmtId="0" xfId="0" applyBorder="1" applyFill="1" applyFont="1"/>
    <xf borderId="0" fillId="0" fontId="17" numFmtId="0" xfId="0" applyAlignment="1" applyFont="1">
      <alignment horizontal="right" readingOrder="0" shrinkToFit="0" wrapText="0"/>
    </xf>
    <xf borderId="2" fillId="0" fontId="18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0" fillId="0" fontId="2" numFmtId="0" xfId="0" applyFont="1"/>
    <xf borderId="1" fillId="0" fontId="10" numFmtId="0" xfId="0" applyAlignment="1" applyBorder="1" applyFont="1">
      <alignment horizontal="center" readingOrder="0" vertical="bottom"/>
    </xf>
    <xf borderId="1" fillId="0" fontId="10" numFmtId="3" xfId="0" applyAlignment="1" applyBorder="1" applyFont="1" applyNumberFormat="1">
      <alignment horizontal="center" vertical="bottom"/>
    </xf>
    <xf borderId="1" fillId="0" fontId="10" numFmtId="166" xfId="0" applyAlignment="1" applyBorder="1" applyFont="1" applyNumberFormat="1">
      <alignment readingOrder="0" vertical="bottom"/>
    </xf>
    <xf borderId="0" fillId="0" fontId="17" numFmtId="0" xfId="0" applyAlignment="1" applyFont="1">
      <alignment horizontal="center" readingOrder="0" shrinkToFit="0" wrapText="0"/>
    </xf>
    <xf borderId="1" fillId="0" fontId="10" numFmtId="0" xfId="0" applyAlignment="1" applyBorder="1" applyFont="1">
      <alignment readingOrder="0" vertical="bottom"/>
    </xf>
    <xf borderId="1" fillId="0" fontId="10" numFmtId="3" xfId="0" applyAlignment="1" applyBorder="1" applyFont="1" applyNumberFormat="1">
      <alignment horizontal="center" readingOrder="0" vertical="bottom"/>
    </xf>
    <xf borderId="0" fillId="8" fontId="1" numFmtId="3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1" fillId="4" fontId="8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/>
    </xf>
    <xf borderId="4" fillId="4" fontId="3" numFmtId="0" xfId="0" applyAlignment="1" applyBorder="1" applyFill="1" applyFont="1">
      <alignment horizontal="center" readingOrder="0" shrinkToFit="0" wrapText="0"/>
    </xf>
    <xf borderId="5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2" fillId="0" fontId="1" numFmtId="0" xfId="0" applyBorder="1" applyFont="1"/>
    <xf borderId="7" fillId="0" fontId="1" numFmtId="0" xfId="0" applyBorder="1" applyFont="1"/>
    <xf borderId="1" fillId="0" fontId="1" numFmtId="0" xfId="0" applyAlignment="1" applyBorder="1" applyFont="1">
      <alignment horizontal="center"/>
    </xf>
    <xf borderId="2" fillId="9" fontId="19" numFmtId="0" xfId="0" applyAlignment="1" applyBorder="1" applyFill="1" applyFont="1">
      <alignment horizontal="center" readingOrder="0"/>
    </xf>
    <xf borderId="1" fillId="0" fontId="20" numFmtId="0" xfId="0" applyAlignment="1" applyBorder="1" applyFont="1">
      <alignment readingOrder="0" vertical="bottom"/>
    </xf>
    <xf borderId="1" fillId="0" fontId="21" numFmtId="0" xfId="0" applyAlignment="1" applyBorder="1" applyFont="1">
      <alignment horizontal="left" readingOrder="0" vertical="bottom"/>
    </xf>
    <xf borderId="7" fillId="0" fontId="20" numFmtId="0" xfId="0" applyAlignment="1" applyBorder="1" applyFont="1">
      <alignment readingOrder="0" vertical="bottom"/>
    </xf>
    <xf borderId="7" fillId="0" fontId="21" numFmtId="167" xfId="0" applyAlignment="1" applyBorder="1" applyFont="1" applyNumberFormat="1">
      <alignment horizontal="left" readingOrder="0" vertical="bottom"/>
    </xf>
    <xf borderId="7" fillId="0" fontId="21" numFmtId="0" xfId="0" applyAlignment="1" applyBorder="1" applyFont="1">
      <alignment horizontal="left" readingOrder="0" vertical="bottom"/>
    </xf>
    <xf borderId="1" fillId="10" fontId="20" numFmtId="0" xfId="0" applyAlignment="1" applyBorder="1" applyFill="1" applyFont="1">
      <alignment horizontal="center" readingOrder="0" vertical="bottom"/>
    </xf>
    <xf borderId="1" fillId="10" fontId="22" numFmtId="0" xfId="0" applyAlignment="1" applyBorder="1" applyFill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bottom"/>
    </xf>
    <xf borderId="7" fillId="0" fontId="21" numFmtId="3" xfId="0" applyAlignment="1" applyBorder="1" applyFont="1" applyNumberFormat="1">
      <alignment horizontal="center" readingOrder="0" vertical="bottom"/>
    </xf>
    <xf borderId="1" fillId="5" fontId="11" numFmtId="49" xfId="0" applyAlignment="1" applyBorder="1" applyFill="1" applyFont="1" applyNumberFormat="1">
      <alignment horizontal="center" shrinkToFit="0" vertical="center" wrapText="0"/>
    </xf>
    <xf borderId="8" fillId="0" fontId="20" numFmtId="0" xfId="0" applyAlignment="1" applyBorder="1" applyFont="1">
      <alignment horizontal="right" readingOrder="0" vertical="bottom"/>
    </xf>
    <xf borderId="9" fillId="0" fontId="14" numFmtId="0" xfId="0" applyBorder="1" applyFont="1"/>
    <xf borderId="10" fillId="0" fontId="14" numFmtId="0" xfId="0" applyBorder="1" applyFont="1"/>
    <xf borderId="7" fillId="0" fontId="23" numFmtId="0" xfId="0" applyAlignment="1" applyBorder="1" applyFont="1">
      <alignment horizontal="center" readingOrder="0" vertical="bottom"/>
    </xf>
    <xf borderId="0" fillId="0" fontId="24" numFmtId="0" xfId="0" applyAlignment="1" applyFont="1">
      <alignment vertical="bottom"/>
    </xf>
    <xf borderId="11" fillId="0" fontId="24" numFmtId="0" xfId="0" applyAlignment="1" applyBorder="1" applyFont="1">
      <alignment vertical="bottom"/>
    </xf>
    <xf borderId="4" fillId="0" fontId="25" numFmtId="0" xfId="0" applyAlignment="1" applyBorder="1" applyFont="1">
      <alignment horizontal="center" readingOrder="0" vertical="bottom"/>
    </xf>
    <xf borderId="1" fillId="0" fontId="21" numFmtId="3" xfId="0" applyAlignment="1" applyBorder="1" applyFont="1" applyNumberFormat="1">
      <alignment horizontal="center" readingOrder="0" vertical="bottom"/>
    </xf>
    <xf borderId="10" fillId="0" fontId="25" numFmtId="0" xfId="0" applyAlignment="1" applyBorder="1" applyFont="1">
      <alignment horizontal="center" readingOrder="0" vertical="bottom"/>
    </xf>
    <xf borderId="1" fillId="10" fontId="22" numFmtId="0" xfId="0" applyAlignment="1" applyBorder="1" applyFill="1" applyFont="1">
      <alignment horizontal="center" readingOrder="0" vertical="center"/>
    </xf>
    <xf borderId="1" fillId="10" fontId="22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0" fontId="21" numFmtId="167" xfId="0" applyAlignment="1" applyBorder="1" applyFont="1" applyNumberFormat="1">
      <alignment horizontal="left" readingOrder="0"/>
    </xf>
    <xf borderId="1" fillId="0" fontId="23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1" fillId="0" fontId="21" numFmtId="4" xfId="0" applyAlignment="1" applyBorder="1" applyFont="1" applyNumberFormat="1">
      <alignment horizontal="center" readingOrder="0" vertical="bottom"/>
    </xf>
    <xf borderId="9" fillId="0" fontId="26" numFmtId="0" xfId="0" applyAlignment="1" applyBorder="1" applyFont="1">
      <alignment horizontal="center" readingOrder="0"/>
    </xf>
    <xf borderId="1" fillId="4" fontId="3" numFmtId="4" xfId="0" applyAlignment="1" applyBorder="1" applyFill="1" applyFont="1" applyNumberFormat="1">
      <alignment horizontal="center" readingOrder="0" shrinkToFit="0" wrapText="0"/>
    </xf>
    <xf borderId="1" fillId="5" fontId="3" numFmtId="4" xfId="0" applyAlignment="1" applyBorder="1" applyFill="1" applyFont="1" applyNumberFormat="1">
      <alignment horizontal="center" readingOrder="0" shrinkToFit="0" wrapText="0"/>
    </xf>
    <xf borderId="1" fillId="4" fontId="3" numFmtId="3" xfId="0" applyAlignment="1" applyBorder="1" applyFill="1" applyFont="1" applyNumberFormat="1">
      <alignment horizontal="center" readingOrder="0" shrinkToFit="0" wrapText="0"/>
    </xf>
    <xf borderId="1" fillId="5" fontId="3" numFmtId="3" xfId="0" applyAlignment="1" applyBorder="1" applyFill="1" applyFont="1" applyNumberFormat="1">
      <alignment horizontal="center" readingOrder="0"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4" fillId="4" fontId="14" numFmtId="0" xfId="0" applyBorder="1" applyFill="1" applyFont="1"/>
    <xf borderId="1" fillId="4" fontId="17" numFmtId="0" xfId="0" applyAlignment="1" applyBorder="1" applyFill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vertical="bottom"/>
    </xf>
    <xf borderId="12" fillId="0" fontId="20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7" fillId="0" fontId="21" numFmtId="168" xfId="0" applyAlignment="1" applyBorder="1" applyFont="1" applyNumberFormat="1">
      <alignment horizontal="center" readingOrder="0" vertical="bottom"/>
    </xf>
    <xf borderId="12" fillId="0" fontId="24" numFmtId="0" xfId="0" applyAlignment="1" applyBorder="1" applyFont="1">
      <alignment vertical="top"/>
    </xf>
    <xf borderId="0" fillId="0" fontId="24" numFmtId="0" xfId="0" applyAlignment="1" applyFont="1">
      <alignment vertical="top"/>
    </xf>
    <xf borderId="8" fillId="0" fontId="24" numFmtId="0" xfId="0" applyAlignment="1" applyBorder="1" applyFont="1">
      <alignment horizontal="center" readingOrder="0" vertical="bottom"/>
    </xf>
    <xf borderId="8" fillId="0" fontId="24" numFmtId="0" xfId="0" applyAlignment="1" applyBorder="1" applyFont="1">
      <alignment vertical="bottom"/>
    </xf>
    <xf borderId="2" fillId="5" fontId="3" numFmtId="0" xfId="0" applyAlignment="1" applyBorder="1" applyFill="1" applyFont="1">
      <alignment horizontal="center" readingOrder="0" shrinkToFit="0" wrapText="0"/>
    </xf>
    <xf borderId="4" fillId="5" fontId="14" numFmtId="0" xfId="0" applyBorder="1" applyFill="1" applyFont="1"/>
    <xf borderId="1" fillId="5" fontId="17" numFmtId="4" xfId="0" applyAlignment="1" applyBorder="1" applyFill="1" applyFont="1" applyNumberFormat="1">
      <alignment horizontal="center" readingOrder="0" shrinkToFit="0" wrapText="0"/>
    </xf>
    <xf borderId="1" fillId="5" fontId="17" numFmtId="0" xfId="0" applyAlignment="1" applyBorder="1" applyFill="1" applyFont="1">
      <alignment horizontal="center" readingOrder="0" shrinkToFit="0" wrapText="0"/>
    </xf>
    <xf borderId="2" fillId="0" fontId="22" numFmtId="0" xfId="0" applyAlignment="1" applyBorder="1" applyFont="1">
      <alignment horizontal="center" readingOrder="0" vertical="bottom"/>
    </xf>
    <xf borderId="1" fillId="5" fontId="17" numFmtId="3" xfId="0" applyAlignment="1" applyBorder="1" applyFill="1" applyFont="1" applyNumberFormat="1">
      <alignment horizontal="center" readingOrder="0" shrinkToFit="0" wrapText="0"/>
    </xf>
    <xf borderId="8" fillId="0" fontId="21" numFmtId="0" xfId="0" applyAlignment="1" applyBorder="1" applyFont="1">
      <alignment horizontal="center" readingOrder="0" vertical="bottom"/>
    </xf>
    <xf borderId="1" fillId="0" fontId="1" numFmtId="3" xfId="0" applyBorder="1" applyFont="1" applyNumberFormat="1"/>
    <xf borderId="1" fillId="0" fontId="21" numFmtId="168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1" fillId="0" fontId="27" numFmtId="167" xfId="0" applyAlignment="1" applyBorder="1" applyFont="1" applyNumberFormat="1">
      <alignment horizontal="left" readingOrder="0"/>
    </xf>
    <xf borderId="1" fillId="0" fontId="27" numFmtId="0" xfId="0" applyAlignment="1" applyBorder="1" applyFont="1">
      <alignment readingOrder="0"/>
    </xf>
    <xf borderId="1" fillId="0" fontId="27" numFmtId="0" xfId="0" applyAlignment="1" applyBorder="1" applyFont="1">
      <alignment horizontal="left" readingOrder="0"/>
    </xf>
    <xf borderId="2" fillId="9" fontId="28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shrinkToFit="0" vertical="center" wrapText="0"/>
    </xf>
    <xf borderId="1" fillId="4" fontId="29" numFmtId="0" xfId="0" applyAlignment="1" applyBorder="1" applyFill="1" applyFont="1">
      <alignment horizontal="center" shrinkToFit="0" vertical="center" wrapText="0"/>
    </xf>
    <xf borderId="1" fillId="0" fontId="30" numFmtId="0" xfId="0" applyAlignment="1" applyBorder="1" applyFont="1">
      <alignment horizontal="center" readingOrder="0"/>
    </xf>
    <xf borderId="9" fillId="0" fontId="31" numFmtId="0" xfId="0" applyAlignment="1" applyBorder="1" applyFont="1">
      <alignment horizontal="center" readingOrder="0"/>
    </xf>
    <xf borderId="1" fillId="5" fontId="3" numFmtId="49" xfId="0" applyAlignment="1" applyBorder="1" applyFill="1" applyFont="1" applyNumberFormat="1">
      <alignment horizontal="center" shrinkToFit="0" vertical="center" wrapText="0"/>
    </xf>
    <xf borderId="1" fillId="0" fontId="27" numFmtId="3" xfId="0" applyAlignment="1" applyBorder="1" applyFont="1" applyNumberFormat="1">
      <alignment horizontal="center" readingOrder="0"/>
    </xf>
    <xf borderId="1" fillId="0" fontId="32" numFmtId="0" xfId="0" applyAlignment="1" applyBorder="1" applyFont="1">
      <alignment vertical="bottom"/>
    </xf>
    <xf borderId="1" fillId="0" fontId="23" numFmtId="3" xfId="0" applyAlignment="1" applyBorder="1" applyFont="1" applyNumberFormat="1">
      <alignment horizontal="center" readingOrder="0" vertical="bottom"/>
    </xf>
    <xf borderId="1" fillId="0" fontId="33" numFmtId="0" xfId="0" applyAlignment="1" applyBorder="1" applyFont="1">
      <alignment vertical="bottom"/>
    </xf>
    <xf borderId="1" fillId="0" fontId="30" numFmtId="3" xfId="0" applyAlignment="1" applyBorder="1" applyFont="1" applyNumberFormat="1">
      <alignment horizontal="center" readingOrder="0"/>
    </xf>
    <xf borderId="7" fillId="0" fontId="32" numFmtId="0" xfId="0" applyAlignment="1" applyBorder="1" applyFont="1">
      <alignment vertical="bottom"/>
    </xf>
    <xf borderId="1" fillId="0" fontId="33" numFmtId="167" xfId="0" applyAlignment="1" applyBorder="1" applyFont="1" applyNumberFormat="1">
      <alignment horizontal="left" vertical="bottom"/>
    </xf>
    <xf borderId="1" fillId="11" fontId="32" numFmtId="0" xfId="0" applyAlignment="1" applyBorder="1" applyFill="1" applyFont="1">
      <alignment horizontal="center" vertical="bottom"/>
    </xf>
    <xf borderId="1" fillId="10" fontId="22" numFmtId="0" xfId="0" applyAlignment="1" applyBorder="1" applyFill="1" applyFont="1">
      <alignment horizontal="center" vertical="bottom"/>
    </xf>
    <xf borderId="1" fillId="0" fontId="33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vertical="bottom"/>
    </xf>
    <xf borderId="1" fillId="0" fontId="33" numFmtId="4" xfId="0" applyAlignment="1" applyBorder="1" applyFont="1" applyNumberFormat="1">
      <alignment horizontal="center" vertical="bottom"/>
    </xf>
    <xf borderId="1" fillId="0" fontId="33" numFmtId="3" xfId="0" applyAlignment="1" applyBorder="1" applyFont="1" applyNumberFormat="1">
      <alignment horizontal="center" vertical="bottom"/>
    </xf>
    <xf borderId="1" fillId="0" fontId="33" numFmtId="3" xfId="0" applyAlignment="1" applyBorder="1" applyFont="1" applyNumberFormat="1">
      <alignment horizontal="center" readingOrder="0" vertical="bottom"/>
    </xf>
    <xf borderId="2" fillId="0" fontId="32" numFmtId="0" xfId="0" applyAlignment="1" applyBorder="1" applyFont="1">
      <alignment horizontal="center" vertical="bottom"/>
    </xf>
    <xf borderId="1" fillId="0" fontId="34" numFmtId="3" xfId="0" applyAlignment="1" applyBorder="1" applyFont="1" applyNumberFormat="1">
      <alignment horizontal="center" vertical="bottom"/>
    </xf>
    <xf borderId="1" fillId="0" fontId="35" numFmtId="0" xfId="0" applyAlignment="1" applyBorder="1" applyFont="1">
      <alignment horizontal="center" vertical="bottom"/>
    </xf>
    <xf borderId="1" fillId="10" fontId="22" numFmtId="0" xfId="0" applyAlignment="1" applyBorder="1" applyFill="1" applyFont="1">
      <alignment horizontal="center"/>
    </xf>
    <xf borderId="1" fillId="10" fontId="22" numFmtId="0" xfId="0" applyAlignment="1" applyBorder="1" applyFill="1" applyFont="1">
      <alignment horizontal="center" shrinkToFit="0" wrapText="1"/>
    </xf>
    <xf borderId="1" fillId="4" fontId="8" numFmtId="0" xfId="0" applyAlignment="1" applyBorder="1" applyFill="1" applyFont="1">
      <alignment horizontal="center" vertical="bottom"/>
    </xf>
    <xf borderId="1" fillId="4" fontId="10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horizontal="center" vertical="bottom"/>
    </xf>
    <xf borderId="1" fillId="5" fontId="10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center" shrinkToFit="0" vertical="center" wrapText="0"/>
    </xf>
    <xf borderId="1" fillId="4" fontId="11" numFmtId="49" xfId="0" applyAlignment="1" applyBorder="1" applyFill="1" applyFont="1" applyNumberFormat="1">
      <alignment horizontal="center" shrinkToFit="0" vertical="center" wrapText="0"/>
    </xf>
    <xf borderId="1" fillId="4" fontId="29" numFmtId="49" xfId="0" applyAlignment="1" applyBorder="1" applyFill="1" applyFont="1" applyNumberFormat="1">
      <alignment horizontal="center" shrinkToFit="0" vertical="center" wrapText="0"/>
    </xf>
    <xf borderId="1" fillId="5" fontId="29" numFmtId="49" xfId="0" applyAlignment="1" applyBorder="1" applyFill="1" applyFont="1" applyNumberFormat="1">
      <alignment horizontal="center" shrinkToFit="0" vertical="center" wrapText="0"/>
    </xf>
    <xf borderId="1" fillId="0" fontId="24" numFmtId="0" xfId="0" applyAlignment="1" applyBorder="1" applyFont="1">
      <alignment vertical="bottom"/>
    </xf>
    <xf borderId="0" fillId="0" fontId="36" numFmtId="0" xfId="0" applyAlignment="1" applyFont="1">
      <alignment horizontal="center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2" fillId="5" fontId="8" numFmtId="0" xfId="0" applyAlignment="1" applyBorder="1" applyFill="1" applyFont="1">
      <alignment horizontal="center" vertical="bottom"/>
    </xf>
    <xf borderId="2" fillId="0" fontId="22" numFmtId="0" xfId="0" applyAlignment="1" applyBorder="1" applyFont="1">
      <alignment horizontal="center" vertical="bottom"/>
    </xf>
    <xf borderId="12" fillId="0" fontId="10" numFmtId="0" xfId="0" applyAlignment="1" applyBorder="1" applyFont="1">
      <alignment vertical="bottom"/>
    </xf>
    <xf borderId="1" fillId="0" fontId="32" numFmtId="0" xfId="0" applyAlignment="1" applyBorder="1" applyFont="1">
      <alignment horizontal="center" vertical="bottom"/>
    </xf>
    <xf borderId="1" fillId="0" fontId="27" numFmtId="168" xfId="0" applyAlignment="1" applyBorder="1" applyFont="1" applyNumberFormat="1">
      <alignment horizontal="center" readingOrder="0"/>
    </xf>
    <xf borderId="12" fillId="0" fontId="10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1" fillId="0" fontId="10" numFmtId="3" xfId="0" applyAlignment="1" applyBorder="1" applyFont="1" applyNumberFormat="1">
      <alignment vertical="bottom"/>
    </xf>
    <xf borderId="1" fillId="5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0" fontId="33" numFmtId="168" xfId="0" applyAlignment="1" applyBorder="1" applyFont="1" applyNumberFormat="1">
      <alignment horizontal="center" vertical="bottom"/>
    </xf>
    <xf borderId="7" fillId="0" fontId="33" numFmtId="3" xfId="0" applyAlignment="1" applyBorder="1" applyFont="1" applyNumberFormat="1">
      <alignment horizontal="center" vertical="bottom"/>
    </xf>
    <xf borderId="1" fillId="5" fontId="3" numFmtId="49" xfId="0" applyAlignment="1" applyBorder="1" applyFill="1" applyFont="1" applyNumberFormat="1">
      <alignment horizontal="center" readingOrder="0" shrinkToFit="0" vertical="center" wrapText="0"/>
    </xf>
    <xf borderId="1" fillId="5" fontId="29" numFmtId="49" xfId="0" applyAlignment="1" applyBorder="1" applyFill="1" applyFont="1" applyNumberFormat="1">
      <alignment horizontal="center" readingOrder="0" shrinkToFit="0" vertical="center" wrapText="0"/>
    </xf>
    <xf borderId="1" fillId="5" fontId="8" numFmtId="0" xfId="0" applyAlignment="1" applyBorder="1" applyFill="1" applyFont="1">
      <alignment horizontal="center" shrinkToFit="0" vertical="center" wrapText="0"/>
    </xf>
    <xf borderId="1" fillId="5" fontId="8" numFmtId="49" xfId="0" applyAlignment="1" applyBorder="1" applyFill="1" applyFont="1" applyNumberFormat="1">
      <alignment horizontal="center" shrinkToFit="0" vertical="center" wrapText="0"/>
    </xf>
    <xf borderId="1" fillId="4" fontId="37" numFmtId="49" xfId="0" applyAlignment="1" applyBorder="1" applyFill="1" applyFont="1" applyNumberForma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5" fontId="8" numFmtId="49" xfId="0" applyAlignment="1" applyBorder="1" applyFill="1" applyFont="1" applyNumberFormat="1">
      <alignment horizontal="center" readingOrder="0" shrinkToFit="0" vertical="center" wrapText="0"/>
    </xf>
    <xf borderId="1" fillId="0" fontId="38" numFmtId="0" xfId="0" applyAlignment="1" applyBorder="1" applyFont="1">
      <alignment horizontal="center" readingOrder="0" shrinkToFit="0" vertical="center" wrapText="0"/>
    </xf>
    <xf borderId="1" fillId="5" fontId="3" numFmtId="169" xfId="0" applyAlignment="1" applyBorder="1" applyFill="1" applyFont="1" applyNumberFormat="1">
      <alignment horizontal="center" readingOrder="0" shrinkToFit="0" vertical="center" wrapText="0"/>
    </xf>
    <xf borderId="1" fillId="0" fontId="39" numFmtId="49" xfId="0" applyAlignment="1" applyBorder="1" applyFont="1" applyNumberFormat="1">
      <alignment horizontal="center" readingOrder="0" shrinkToFit="0" vertical="center" wrapText="0"/>
    </xf>
    <xf borderId="1" fillId="8" fontId="11" numFmtId="49" xfId="0" applyAlignment="1" applyBorder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wrapText="0"/>
    </xf>
    <xf borderId="0" fillId="0" fontId="7" numFmtId="165" xfId="0" applyAlignment="1" applyFont="1" applyNumberFormat="1">
      <alignment horizontal="center" readingOrder="0" shrinkToFit="0" wrapText="0"/>
    </xf>
    <xf borderId="0" fillId="0" fontId="40" numFmtId="0" xfId="0" applyAlignment="1" applyFont="1">
      <alignment horizontal="center" readingOrder="0" shrinkToFit="0" wrapText="0"/>
    </xf>
    <xf borderId="0" fillId="0" fontId="40" numFmtId="0" xfId="0" applyAlignment="1" applyFont="1">
      <alignment horizontal="center" readingOrder="0" shrinkToFit="0" wrapText="0"/>
    </xf>
    <xf borderId="1" fillId="0" fontId="3" numFmtId="169" xfId="0" applyAlignment="1" applyBorder="1" applyFont="1" applyNumberForma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2" pivot="0" name="Balance Sheet-style">
      <tableStyleElement dxfId="1" type="firstRowStripe"/>
      <tableStyleElement dxfId="2" type="secondRowStripe"/>
    </tableStyle>
    <tableStyle count="5" pivot="0" name="Partner List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  <tableStyle count="4" pivot="0" name="Payment Details-style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Costsখরচ-style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2" pivot="0" name="Payment Details-style 2">
      <tableStyleElement dxfId="1" type="firstRowStripe"/>
      <tableStyleElement dxfId="2" type="secondRowStripe"/>
    </tableStyle>
    <tableStyle count="4" pivot="0" name="Payment Details-style 3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yment Details-style 4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yment Details-style 5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rtner List-style 2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yment Details-style 6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2" pivot="0" name="Payment Details-style 7">
      <tableStyleElement dxfId="1" type="firstRowStripe"/>
      <tableStyleElement dxfId="2" type="secondRowStripe"/>
    </tableStyle>
    <tableStyle count="2" pivot="0" name="Payment Details-style 8">
      <tableStyleElement dxfId="1" type="firstRowStripe"/>
      <tableStyleElement dxfId="2" type="secondRowStripe"/>
    </tableStyle>
    <tableStyle count="2" pivot="0" name="Payment Details-style 9">
      <tableStyleElement dxfId="1" type="firstRowStripe"/>
      <tableStyleElement dxfId="2" type="secondRowStripe"/>
    </tableStyle>
    <tableStyle count="2" pivot="0" name="Payment Details-style 10">
      <tableStyleElement dxfId="1" type="firstRowStripe"/>
      <tableStyleElement dxfId="2" type="secondRowStripe"/>
    </tableStyle>
    <tableStyle count="4" pivot="0" name="Payment Details-style 11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yment Details-style 12">
      <tableStyleElement dxfId="3" type="headerRow"/>
      <tableStyleElement dxfId="1" type="firstRowStripe"/>
      <tableStyleElement dxfId="2" type="secondRowStripe"/>
      <tableStyleElement dxfId="5" size="0" type="wholeTable"/>
    </tableStyle>
    <tableStyle count="4" pivot="0" name="Payment Details-style 13">
      <tableStyleElement dxfId="3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4:E56" displayName="Table_1" name="Table_1" id="1">
  <tableColumns count="3">
    <tableColumn name="Column1" id="1"/>
    <tableColumn name="Column2" id="2"/>
    <tableColumn name="Column3" id="3"/>
  </tableColumns>
  <tableStyleInfo name="Balance Sheet-style" showColumnStripes="0" showFirstColumn="1" showLastColumn="1" showRowStripes="1"/>
</table>
</file>

<file path=xl/tables/table2.xml><?xml version="1.0" encoding="utf-8"?>
<table xmlns="http://schemas.openxmlformats.org/spreadsheetml/2006/main" headerRowCount="0" ref="A3:F3" displayName="August_2026" name="August_2026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yment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:F56" displayName="Table_2" name="Table_2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yment Details-style 2" showColumnStripes="0" showFirstColumn="1" showLastColumn="1" showRowStripes="1"/>
</table>
</file>

<file path=xl/tables/table4.xml><?xml version="1.0" encoding="utf-8"?>
<table xmlns="http://schemas.openxmlformats.org/spreadsheetml/2006/main" ref="A62:F115" displayName="July_2026" name="July_2026" id="6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3" showColumnStripes="0" showFirstColumn="1" showLastColumn="1" showRowStripes="1"/>
</table>
</file>

<file path=xl/tables/table5.xml><?xml version="1.0" encoding="utf-8"?>
<table xmlns="http://schemas.openxmlformats.org/spreadsheetml/2006/main" ref="A122:F175" displayName="June_2026" name="June_2026" id="7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4" showColumnStripes="0" showFirstColumn="1" showLastColumn="1" showRowStripes="1"/>
</table>
</file>

<file path=xl/tables/table6.xml><?xml version="1.0" encoding="utf-8"?>
<table xmlns="http://schemas.openxmlformats.org/spreadsheetml/2006/main" ref="A180:F233" displayName="May_2026" name="May_2026" id="8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5" showColumnStripes="0" showFirstColumn="1" showLastColumn="1" showRowStripes="1"/>
</table>
</file>

<file path=xl/tables/table7.xml><?xml version="1.0" encoding="utf-8"?>
<table xmlns="http://schemas.openxmlformats.org/spreadsheetml/2006/main" ref="A241:F294" displayName="April_2026" name="April_2026" id="10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6" showColumnStripes="0" showFirstColumn="1" showLastColumn="1" showRowStripes="1"/>
</table>
</file>

<file path=xl/tables/table8.xml><?xml version="1.0" encoding="utf-8"?>
<table xmlns="http://schemas.openxmlformats.org/spreadsheetml/2006/main" headerRowCount="0" ref="H242:I245" displayName="Table_3" name="Table_3" id="11">
  <tableColumns count="2">
    <tableColumn name="Column1" id="1"/>
    <tableColumn name="Column2" id="2"/>
  </tableColumns>
  <tableStyleInfo name="Payment Details-style 7" showColumnStripes="0" showFirstColumn="1" showLastColumn="1" showRowStripes="1"/>
</table>
</file>

<file path=xl/tables/table9.xml><?xml version="1.0" encoding="utf-8"?>
<table xmlns="http://schemas.openxmlformats.org/spreadsheetml/2006/main" headerRowCount="0" ref="H246:I248" displayName="Table_4" name="Table_4" id="12">
  <tableColumns count="2">
    <tableColumn name="Column1" id="1"/>
    <tableColumn name="Column2" id="2"/>
  </tableColumns>
  <tableStyleInfo name="Payment Details-style 8" showColumnStripes="0" showFirstColumn="1" showLastColumn="1" showRowStripes="1"/>
</table>
</file>

<file path=xl/tables/table10.xml><?xml version="1.0" encoding="utf-8"?>
<table xmlns="http://schemas.openxmlformats.org/spreadsheetml/2006/main" headerRowCount="0" ref="H249:I249" displayName="Table_5" name="Table_5" id="13">
  <tableColumns count="2">
    <tableColumn name="Column1" id="1"/>
    <tableColumn name="Column2" id="2"/>
  </tableColumns>
  <tableStyleInfo name="Payment Details-style 9" showColumnStripes="0" showFirstColumn="1" showLastColumn="1" showRowStripes="1"/>
</table>
</file>

<file path=xl/tables/table11.xml><?xml version="1.0" encoding="utf-8"?>
<table xmlns="http://schemas.openxmlformats.org/spreadsheetml/2006/main" headerRowCount="0" ref="H250:I255" displayName="Table_6" name="Table_6" id="14">
  <tableColumns count="2">
    <tableColumn name="Column1" id="1"/>
    <tableColumn name="Column2" id="2"/>
  </tableColumns>
  <tableStyleInfo name="Payment Details-style 10" showColumnStripes="0" showFirstColumn="1" showLastColumn="1" showRowStripes="1"/>
</table>
</file>

<file path=xl/tables/table12.xml><?xml version="1.0" encoding="utf-8"?>
<table xmlns="http://schemas.openxmlformats.org/spreadsheetml/2006/main" ref="A302:F355" displayName="March_2026" name="March_2026" id="15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11" showColumnStripes="0" showFirstColumn="1" showLastColumn="1" showRowStripes="1"/>
</table>
</file>

<file path=xl/tables/table13.xml><?xml version="1.0" encoding="utf-8"?>
<table xmlns="http://schemas.openxmlformats.org/spreadsheetml/2006/main" ref="A362:F415" displayName="February_2026" name="February_2026" id="16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12" showColumnStripes="0" showFirstColumn="1" showLastColumn="1" showRowStripes="1"/>
</table>
</file>

<file path=xl/tables/table14.xml><?xml version="1.0" encoding="utf-8"?>
<table xmlns="http://schemas.openxmlformats.org/spreadsheetml/2006/main" ref="A421:F474" displayName="January_2026" name="January_2026" id="17">
  <tableColumns count="6">
    <tableColumn name="ID" id="1"/>
    <tableColumn name="Name" id="2"/>
    <tableColumn name="Payment" id="3"/>
    <tableColumn name="Payment Remarks" id="4"/>
    <tableColumn name="Payment Date" id="5"/>
    <tableColumn name="Payment Reference" id="6"/>
  </tableColumns>
  <tableStyleInfo name="Payment Details-style 13" showColumnStripes="0" showFirstColumn="1" showLastColumn="1" showRowStripes="1"/>
</table>
</file>

<file path=xl/tables/table15.xml><?xml version="1.0" encoding="utf-8"?>
<table xmlns="http://schemas.openxmlformats.org/spreadsheetml/2006/main" ref="A1:E7" displayName="Costs" name="Costs" id="2">
  <tableColumns count="5">
    <tableColumn name="Sl." id="1"/>
    <tableColumn name="Title " id="2"/>
    <tableColumn name="Date" id="3"/>
    <tableColumn name="Amount " id="4"/>
    <tableColumn name="Paid to" id="5"/>
  </tableColumns>
  <tableStyleInfo name="Costsখরচ-style" showColumnStripes="0" showFirstColumn="1" showLastColumn="1" showRowStripes="1"/>
</table>
</file>

<file path=xl/tables/table16.xml><?xml version="1.0" encoding="utf-8"?>
<table xmlns="http://schemas.openxmlformats.org/spreadsheetml/2006/main" totalsRowCount="1" ref="A1:F18" displayName="Share_Info" name="Share_Info" id="3">
  <tableColumns count="6">
    <tableColumn totalsRowLabel="17" name="SL" id="1"/>
    <tableColumn totalsRowLabel="Atiqure Rahman" name="Name" id="2"/>
    <tableColumn totalsRowLabel="1" name="No of Share" id="3"/>
    <tableColumn totalsRowLabel="100" name="TK (Form Fee)" id="4"/>
    <tableColumn totalsRowFunction="custom" name="Deposit amount so far" id="5"/>
    <tableColumn totalsRowFunction="custom" name="Due Amount till August" id="6"/>
  </tableColumns>
  <tableStyleInfo name="Partner List-style" showColumnStripes="0" showFirstColumn="1" showLastColumn="1" showRowStripes="1"/>
</table>
</file>

<file path=xl/tables/table17.xml><?xml version="1.0" encoding="utf-8"?>
<table xmlns="http://schemas.openxmlformats.org/spreadsheetml/2006/main" ref="G1:G14" displayName="Bank_Account_Info_" name="Bank_Account_Info_" id="9">
  <tableColumns count="1">
    <tableColumn name="Bank Account Info " id="1"/>
  </tableColumns>
  <tableStyleInfo name="Partner Li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2.xml"/><Relationship Id="rId15" Type="http://schemas.openxmlformats.org/officeDocument/2006/relationships/table" Target="../tables/table2.xml"/><Relationship Id="rId26" Type="http://schemas.openxmlformats.org/officeDocument/2006/relationships/table" Target="../tables/table13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27" Type="http://schemas.openxmlformats.org/officeDocument/2006/relationships/table" Target="../tables/table14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25"/>
    <col customWidth="1" min="3" max="3" width="3.0"/>
    <col customWidth="1" min="4" max="4" width="23.25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3" t="s">
        <v>3</v>
      </c>
      <c r="C3" s="4"/>
      <c r="D3" s="5" t="s">
        <v>4</v>
      </c>
      <c r="E3" s="2" t="s">
        <v>3</v>
      </c>
    </row>
    <row r="4">
      <c r="A4" s="6" t="s">
        <v>5</v>
      </c>
      <c r="B4" s="7">
        <f>SUM(E68-(SUM(B5:B19)))</f>
        <v>496785</v>
      </c>
      <c r="C4" s="9"/>
      <c r="D4" s="10" t="s">
        <v>9</v>
      </c>
      <c r="E4" s="14">
        <f>sum('Payment Details'!C363+'Payment Details'!C422+'Payment Details'!C303+'Payment Details'!C242+'Payment Details'!C181+'Payment Details'!C123+'Payment Details'!C63, 'Payment Details'!C4)</f>
        <v>35000</v>
      </c>
    </row>
    <row r="5">
      <c r="A5" s="16" t="s">
        <v>19</v>
      </c>
      <c r="B5" s="16">
        <v>317.0</v>
      </c>
      <c r="C5" s="9"/>
      <c r="D5" s="10" t="s">
        <v>21</v>
      </c>
      <c r="E5" s="14">
        <f>sum('Payment Details'!C364+'Payment Details'!C423+'Payment Details'!C304+'Payment Details'!C243+'Payment Details'!C182+'Payment Details'!C124+'Payment Details'!C64, 'Payment Details'!C5)</f>
        <v>35000</v>
      </c>
    </row>
    <row r="6">
      <c r="A6" s="6" t="s">
        <v>24</v>
      </c>
      <c r="B6" s="20">
        <v>376984.0</v>
      </c>
      <c r="C6" s="9"/>
      <c r="D6" s="10" t="s">
        <v>25</v>
      </c>
      <c r="E6" s="14">
        <f>sum('Payment Details'!C365+'Payment Details'!C424+'Payment Details'!C305+'Payment Details'!C244+'Payment Details'!C183+'Payment Details'!C125+'Payment Details'!C65, 'Payment Details'!C6)</f>
        <v>35000</v>
      </c>
    </row>
    <row r="7">
      <c r="A7" s="6" t="s">
        <v>26</v>
      </c>
      <c r="B7" s="23">
        <v>8000.0</v>
      </c>
      <c r="C7" s="9"/>
      <c r="D7" s="10" t="s">
        <v>27</v>
      </c>
      <c r="E7" s="14">
        <f>sum('Payment Details'!C366+'Payment Details'!C425+'Payment Details'!C306+'Payment Details'!C245+'Payment Details'!C184+'Payment Details'!C126+'Payment Details'!C66, 'Payment Details'!C7)</f>
        <v>35000</v>
      </c>
    </row>
    <row r="8">
      <c r="A8" s="28" t="s">
        <v>30</v>
      </c>
      <c r="B8" s="30">
        <f>240000-'Faysal Sales Portfolio-1'!B91</f>
        <v>210000</v>
      </c>
      <c r="C8" s="9"/>
      <c r="D8" s="10" t="s">
        <v>32</v>
      </c>
      <c r="E8" s="14">
        <f>sum('Payment Details'!C367+'Payment Details'!C426+'Payment Details'!C307+'Payment Details'!C246+'Payment Details'!C185+'Payment Details'!C127+'Payment Details'!C67, 'Payment Details'!C8)</f>
        <v>35000</v>
      </c>
      <c r="J8" s="32"/>
    </row>
    <row r="9">
      <c r="A9" s="28" t="s">
        <v>36</v>
      </c>
      <c r="B9" s="34">
        <f>121000-'A. Rahim Sales Portfolio-2'!B88</f>
        <v>80664</v>
      </c>
      <c r="C9" s="9"/>
      <c r="D9" s="10" t="s">
        <v>41</v>
      </c>
      <c r="E9" s="14">
        <f>sum('Payment Details'!C368+'Payment Details'!C427+'Payment Details'!C308+'Payment Details'!C247+'Payment Details'!C186+'Payment Details'!C128+'Payment Details'!C68, 'Payment Details'!C9)</f>
        <v>35000</v>
      </c>
    </row>
    <row r="10">
      <c r="A10" s="6" t="s">
        <v>52</v>
      </c>
      <c r="B10" s="23">
        <v>20000.0</v>
      </c>
      <c r="C10" s="9"/>
      <c r="D10" s="10" t="s">
        <v>53</v>
      </c>
      <c r="E10" s="14">
        <f>sum('Payment Details'!C369+'Payment Details'!C428+'Payment Details'!C309+'Payment Details'!C248+'Payment Details'!C187+'Payment Details'!C129+'Payment Details'!C69, 'Payment Details'!C10)</f>
        <v>35000</v>
      </c>
    </row>
    <row r="11">
      <c r="A11" s="28" t="s">
        <v>59</v>
      </c>
      <c r="B11" s="30">
        <f>244000-'Harun Sales Portfolio-3'!B94</f>
        <v>189000</v>
      </c>
      <c r="C11" s="9"/>
      <c r="D11" s="10" t="s">
        <v>64</v>
      </c>
      <c r="E11" s="14">
        <f>sum('Payment Details'!C370+'Payment Details'!C429+'Payment Details'!C310+'Payment Details'!C249+'Payment Details'!C188+'Payment Details'!C130+'Payment Details'!C70, 'Payment Details'!C11)</f>
        <v>35000</v>
      </c>
    </row>
    <row r="12">
      <c r="A12" s="28" t="s">
        <v>71</v>
      </c>
      <c r="B12" s="30">
        <f>40535-'Salman Sales Portfolio-4'!B88</f>
        <v>26935</v>
      </c>
      <c r="C12" s="9"/>
      <c r="D12" s="10" t="s">
        <v>75</v>
      </c>
      <c r="E12" s="14">
        <f>sum('Payment Details'!C371+'Payment Details'!C430+'Payment Details'!C311+'Payment Details'!C250+'Payment Details'!C189+'Payment Details'!C131+'Payment Details'!C71, 'Payment Details'!C12)</f>
        <v>35000</v>
      </c>
    </row>
    <row r="13">
      <c r="A13" s="28" t="s">
        <v>78</v>
      </c>
      <c r="B13" s="34">
        <f>290000-'Minhaj Sales Portfolio-5'!B89</f>
        <v>240000</v>
      </c>
      <c r="C13" s="9"/>
      <c r="D13" s="10" t="s">
        <v>79</v>
      </c>
      <c r="E13" s="14">
        <f>sum('Payment Details'!C372+'Payment Details'!C431+'Payment Details'!C312+'Payment Details'!C251+'Payment Details'!C190+'Payment Details'!C132+'Payment Details'!C72, 'Payment Details'!C13)</f>
        <v>35000</v>
      </c>
      <c r="G13" s="43"/>
    </row>
    <row r="14">
      <c r="A14" s="6" t="s">
        <v>86</v>
      </c>
      <c r="B14" s="6">
        <f>30000-Loan!G55</f>
        <v>18000</v>
      </c>
      <c r="C14" s="9"/>
      <c r="D14" s="10" t="s">
        <v>88</v>
      </c>
      <c r="E14" s="14">
        <f>sum('Payment Details'!C373+'Payment Details'!C432+'Payment Details'!C313+'Payment Details'!C252+'Payment Details'!C191+'Payment Details'!C133+'Payment Details'!C73, 'Payment Details'!C14)</f>
        <v>35000</v>
      </c>
    </row>
    <row r="15">
      <c r="A15" s="6" t="s">
        <v>93</v>
      </c>
      <c r="B15" s="6">
        <f>20000-Loan!G82</f>
        <v>20000</v>
      </c>
      <c r="C15" s="9"/>
      <c r="D15" s="10" t="s">
        <v>95</v>
      </c>
      <c r="E15" s="14">
        <f>sum('Payment Details'!C374+'Payment Details'!C433+'Payment Details'!C314+'Payment Details'!C253+'Payment Details'!C192+'Payment Details'!C134+'Payment Details'!C74, 'Payment Details'!C15)</f>
        <v>35000</v>
      </c>
    </row>
    <row r="16">
      <c r="A16" s="6" t="s">
        <v>100</v>
      </c>
      <c r="B16" s="6">
        <f>50000-Loan!G90</f>
        <v>50000</v>
      </c>
      <c r="C16" s="9"/>
      <c r="D16" s="10" t="s">
        <v>104</v>
      </c>
      <c r="E16" s="14">
        <f>sum('Payment Details'!C375+'Payment Details'!C434+'Payment Details'!C315+'Payment Details'!C254+'Payment Details'!C193+'Payment Details'!C135+'Payment Details'!C75, 'Payment Details'!C16)</f>
        <v>35000</v>
      </c>
    </row>
    <row r="17">
      <c r="A17" s="28" t="s">
        <v>112</v>
      </c>
      <c r="B17" s="49">
        <f>193720-'Riad Sales Portfolio-6'!B89</f>
        <v>177570</v>
      </c>
      <c r="C17" s="9"/>
      <c r="D17" s="10" t="s">
        <v>116</v>
      </c>
      <c r="E17" s="14">
        <f>sum('Payment Details'!C376+'Payment Details'!C435+'Payment Details'!C316+'Payment Details'!C255+'Payment Details'!C194+'Payment Details'!C136+'Payment Details'!C76, 'Payment Details'!C17)</f>
        <v>35000</v>
      </c>
    </row>
    <row r="18">
      <c r="A18" s="6" t="s">
        <v>122</v>
      </c>
      <c r="B18" s="6">
        <f>15000-Loan!G98</f>
        <v>15000</v>
      </c>
      <c r="C18" s="9"/>
      <c r="D18" s="10" t="s">
        <v>125</v>
      </c>
      <c r="E18" s="14">
        <f>sum('Payment Details'!C377+'Payment Details'!C436+'Payment Details'!C317+'Payment Details'!C256+'Payment Details'!C195+'Payment Details'!C137+'Payment Details'!C77, 'Payment Details'!C18)</f>
        <v>35000</v>
      </c>
    </row>
    <row r="19">
      <c r="A19" s="6" t="s">
        <v>131</v>
      </c>
      <c r="B19" s="53">
        <f>7000-Loan!G106</f>
        <v>7000</v>
      </c>
      <c r="C19" s="9"/>
      <c r="D19" s="10" t="s">
        <v>135</v>
      </c>
      <c r="E19" s="14">
        <f>sum('Payment Details'!C378+'Payment Details'!C437+'Payment Details'!C318+'Payment Details'!C257+'Payment Details'!C196+'Payment Details'!C138+'Payment Details'!C78, 'Payment Details'!C19)</f>
        <v>35000</v>
      </c>
    </row>
    <row r="20">
      <c r="A20" s="53"/>
      <c r="B20" s="54"/>
      <c r="C20" s="9"/>
      <c r="D20" s="10" t="s">
        <v>142</v>
      </c>
      <c r="E20" s="14">
        <f>sum('Payment Details'!C379+'Payment Details'!C438+'Payment Details'!C319+'Payment Details'!C258+'Payment Details'!C197+'Payment Details'!C139+'Payment Details'!C79, 'Payment Details'!C20)</f>
        <v>35000</v>
      </c>
    </row>
    <row r="21">
      <c r="A21" s="53"/>
      <c r="B21" s="54"/>
      <c r="C21" s="9"/>
      <c r="D21" s="10" t="s">
        <v>145</v>
      </c>
      <c r="E21" s="14">
        <f>sum('Payment Details'!C380+'Payment Details'!C439+'Payment Details'!C320+'Payment Details'!C259+'Payment Details'!C198+'Payment Details'!C140+'Payment Details'!C80, 'Payment Details'!C21)</f>
        <v>35000</v>
      </c>
    </row>
    <row r="22">
      <c r="A22" s="53"/>
      <c r="B22" s="54"/>
      <c r="C22" s="9"/>
      <c r="D22" s="10" t="s">
        <v>146</v>
      </c>
      <c r="E22" s="14">
        <f>sum('Payment Details'!C381+'Payment Details'!C440+'Payment Details'!C321+'Payment Details'!C260+'Payment Details'!C199+'Payment Details'!C141+'Payment Details'!C81, 'Payment Details'!C22)</f>
        <v>35000</v>
      </c>
    </row>
    <row r="23">
      <c r="A23" s="53"/>
      <c r="B23" s="54"/>
      <c r="C23" s="9"/>
      <c r="D23" s="10" t="s">
        <v>149</v>
      </c>
      <c r="E23" s="14">
        <f>sum('Payment Details'!C382+'Payment Details'!C441+'Payment Details'!C322+'Payment Details'!C261+'Payment Details'!C200+'Payment Details'!C142+'Payment Details'!C82, 'Payment Details'!C23)</f>
        <v>25000</v>
      </c>
    </row>
    <row r="24">
      <c r="A24" s="53"/>
      <c r="B24" s="54"/>
      <c r="C24" s="9"/>
      <c r="D24" s="10" t="s">
        <v>152</v>
      </c>
      <c r="E24" s="14">
        <f>sum('Payment Details'!C383+'Payment Details'!C442+'Payment Details'!C323+'Payment Details'!C262+'Payment Details'!C201+'Payment Details'!C143+'Payment Details'!C83, 'Payment Details'!C24)</f>
        <v>25000</v>
      </c>
    </row>
    <row r="25">
      <c r="A25" s="53"/>
      <c r="B25" s="54"/>
      <c r="C25" s="9"/>
      <c r="D25" s="10" t="s">
        <v>154</v>
      </c>
      <c r="E25" s="14">
        <f>sum('Payment Details'!C384+'Payment Details'!C443+'Payment Details'!C324+'Payment Details'!C263+'Payment Details'!C202+'Payment Details'!C144+'Payment Details'!C84, 'Payment Details'!C25)</f>
        <v>25000</v>
      </c>
    </row>
    <row r="26">
      <c r="A26" s="53"/>
      <c r="B26" s="54"/>
      <c r="C26" s="9"/>
      <c r="D26" s="10" t="s">
        <v>155</v>
      </c>
      <c r="E26" s="14">
        <f>sum('Payment Details'!C385+'Payment Details'!C444+'Payment Details'!C325+'Payment Details'!C264+'Payment Details'!C203+'Payment Details'!C145+'Payment Details'!C85, 'Payment Details'!C26)</f>
        <v>20000</v>
      </c>
    </row>
    <row r="27">
      <c r="A27" s="53"/>
      <c r="B27" s="54"/>
      <c r="C27" s="9"/>
      <c r="D27" s="10" t="s">
        <v>156</v>
      </c>
      <c r="E27" s="14">
        <f>sum('Payment Details'!C386+'Payment Details'!C445+'Payment Details'!C326+'Payment Details'!C265+'Payment Details'!C204+'Payment Details'!C146+'Payment Details'!C86, 'Payment Details'!C27)</f>
        <v>20000</v>
      </c>
    </row>
    <row r="28">
      <c r="A28" s="53"/>
      <c r="B28" s="54"/>
      <c r="C28" s="9"/>
      <c r="D28" s="10" t="s">
        <v>158</v>
      </c>
      <c r="E28" s="14">
        <f>sum('Payment Details'!C387+'Payment Details'!C446+'Payment Details'!C327+'Payment Details'!C266+'Payment Details'!C205+'Payment Details'!C147+'Payment Details'!C87, 'Payment Details'!C28)</f>
        <v>20000</v>
      </c>
    </row>
    <row r="29">
      <c r="A29" s="53"/>
      <c r="B29" s="54"/>
      <c r="C29" s="9"/>
      <c r="D29" s="10" t="s">
        <v>163</v>
      </c>
      <c r="E29" s="14">
        <f>sum('Payment Details'!C388+'Payment Details'!C447+'Payment Details'!C328+'Payment Details'!C267+'Payment Details'!C206+'Payment Details'!C148+'Payment Details'!C88, 'Payment Details'!C29)</f>
        <v>35000</v>
      </c>
    </row>
    <row r="30">
      <c r="A30" s="53"/>
      <c r="B30" s="54"/>
      <c r="C30" s="9"/>
      <c r="D30" s="10" t="s">
        <v>167</v>
      </c>
      <c r="E30" s="14">
        <f>sum('Payment Details'!C389+'Payment Details'!C448+'Payment Details'!C329+'Payment Details'!C268+'Payment Details'!C207+'Payment Details'!C149+'Payment Details'!C89, 'Payment Details'!C30)</f>
        <v>35000</v>
      </c>
    </row>
    <row r="31">
      <c r="A31" s="53"/>
      <c r="B31" s="54"/>
      <c r="C31" s="9"/>
      <c r="D31" s="10" t="s">
        <v>168</v>
      </c>
      <c r="E31" s="14">
        <f>sum('Payment Details'!C390+'Payment Details'!C449+'Payment Details'!C330+'Payment Details'!C269+'Payment Details'!C208+'Payment Details'!C150+'Payment Details'!C90, 'Payment Details'!C31)</f>
        <v>35000</v>
      </c>
    </row>
    <row r="32">
      <c r="A32" s="53"/>
      <c r="B32" s="54"/>
      <c r="C32" s="9"/>
      <c r="D32" s="10" t="s">
        <v>173</v>
      </c>
      <c r="E32" s="14">
        <f>sum('Payment Details'!C391+'Payment Details'!C450+'Payment Details'!C331+'Payment Details'!C270+'Payment Details'!C209+'Payment Details'!C151+'Payment Details'!C91, 'Payment Details'!C32)</f>
        <v>35000</v>
      </c>
    </row>
    <row r="33">
      <c r="A33" s="53"/>
      <c r="B33" s="54"/>
      <c r="C33" s="9"/>
      <c r="D33" s="10" t="s">
        <v>175</v>
      </c>
      <c r="E33" s="14">
        <f>sum('Payment Details'!C392+'Payment Details'!C451+'Payment Details'!C332+'Payment Details'!C271+'Payment Details'!C210+'Payment Details'!C152+'Payment Details'!C92, 'Payment Details'!C33)</f>
        <v>35000</v>
      </c>
    </row>
    <row r="34">
      <c r="A34" s="53"/>
      <c r="B34" s="54"/>
      <c r="C34" s="9"/>
      <c r="D34" s="10" t="s">
        <v>177</v>
      </c>
      <c r="E34" s="14">
        <f>sum('Payment Details'!C393+'Payment Details'!C452+'Payment Details'!C333+'Payment Details'!C272+'Payment Details'!C211+'Payment Details'!C153+'Payment Details'!C93, 'Payment Details'!C34)</f>
        <v>35000</v>
      </c>
    </row>
    <row r="35">
      <c r="A35" s="53"/>
      <c r="B35" s="54"/>
      <c r="C35" s="9"/>
      <c r="D35" s="10" t="s">
        <v>181</v>
      </c>
      <c r="E35" s="14">
        <f>sum('Payment Details'!C394+'Payment Details'!C453+'Payment Details'!C334+'Payment Details'!C273+'Payment Details'!C212+'Payment Details'!C154+'Payment Details'!C94, 'Payment Details'!C35)</f>
        <v>35000</v>
      </c>
    </row>
    <row r="36">
      <c r="A36" s="53"/>
      <c r="B36" s="54"/>
      <c r="C36" s="9"/>
      <c r="D36" s="10" t="s">
        <v>186</v>
      </c>
      <c r="E36" s="14">
        <f>sum('Payment Details'!C395+'Payment Details'!C454+'Payment Details'!C335+'Payment Details'!C274+'Payment Details'!C213+'Payment Details'!C155+'Payment Details'!C95, 'Payment Details'!C36)</f>
        <v>35000</v>
      </c>
    </row>
    <row r="37">
      <c r="A37" s="53"/>
      <c r="B37" s="54"/>
      <c r="C37" s="76"/>
      <c r="D37" s="77" t="s">
        <v>192</v>
      </c>
      <c r="E37" s="14">
        <f>sum('Payment Details'!C396+'Payment Details'!C455+'Payment Details'!C336+'Payment Details'!C275+'Payment Details'!C214+'Payment Details'!C156+'Payment Details'!C96, 'Payment Details'!C37)</f>
        <v>35000</v>
      </c>
    </row>
    <row r="38">
      <c r="A38" s="53"/>
      <c r="B38" s="54"/>
      <c r="C38" s="76"/>
      <c r="D38" s="77" t="s">
        <v>194</v>
      </c>
      <c r="E38" s="14">
        <f>sum('Payment Details'!C397+'Payment Details'!C456+'Payment Details'!C337+'Payment Details'!C276+'Payment Details'!C215+'Payment Details'!C157+'Payment Details'!C97, 'Payment Details'!C38)</f>
        <v>40000</v>
      </c>
    </row>
    <row r="39">
      <c r="A39" s="53"/>
      <c r="B39" s="54"/>
      <c r="C39" s="80"/>
      <c r="D39" s="77" t="s">
        <v>196</v>
      </c>
      <c r="E39" s="14">
        <f>sum('Payment Details'!C398+'Payment Details'!C457+'Payment Details'!C338+'Payment Details'!C277+'Payment Details'!C216+'Payment Details'!C158+'Payment Details'!C98, 'Payment Details'!C39)</f>
        <v>35000</v>
      </c>
    </row>
    <row r="40">
      <c r="A40" s="53"/>
      <c r="B40" s="54"/>
      <c r="C40" s="80"/>
      <c r="D40" s="77" t="s">
        <v>200</v>
      </c>
      <c r="E40" s="14">
        <f>sum('Payment Details'!C399+'Payment Details'!C458+'Payment Details'!C339+'Payment Details'!C278+'Payment Details'!C217+'Payment Details'!C159+'Payment Details'!C99, 'Payment Details'!C40)</f>
        <v>35000</v>
      </c>
    </row>
    <row r="41">
      <c r="A41" s="53"/>
      <c r="B41" s="54"/>
      <c r="C41" s="80"/>
      <c r="D41" s="77" t="s">
        <v>201</v>
      </c>
      <c r="E41" s="14">
        <f>sum('Payment Details'!C400+'Payment Details'!C459+'Payment Details'!C340+'Payment Details'!C279+'Payment Details'!C218+'Payment Details'!C160+'Payment Details'!C100, 'Payment Details'!C41)</f>
        <v>35000</v>
      </c>
    </row>
    <row r="42">
      <c r="A42" s="53"/>
      <c r="B42" s="54"/>
      <c r="C42" s="80"/>
      <c r="D42" s="77" t="s">
        <v>204</v>
      </c>
      <c r="E42" s="14">
        <f>sum('Payment Details'!C401+'Payment Details'!C460+'Payment Details'!C341+'Payment Details'!C280+'Payment Details'!C219+'Payment Details'!C161+'Payment Details'!C101, 'Payment Details'!C42)</f>
        <v>35000</v>
      </c>
    </row>
    <row r="43">
      <c r="A43" s="53"/>
      <c r="B43" s="54"/>
      <c r="C43" s="80"/>
      <c r="D43" s="10" t="s">
        <v>206</v>
      </c>
      <c r="E43" s="14">
        <f>sum('Payment Details'!C402+'Payment Details'!C461+'Payment Details'!C342+'Payment Details'!C281+'Payment Details'!C220+'Payment Details'!C162+'Payment Details'!C102, 'Payment Details'!C43)</f>
        <v>35000</v>
      </c>
    </row>
    <row r="44">
      <c r="A44" s="53"/>
      <c r="B44" s="54"/>
      <c r="C44" s="80"/>
      <c r="D44" s="10" t="s">
        <v>209</v>
      </c>
      <c r="E44" s="14">
        <f>sum('Payment Details'!C403+'Payment Details'!C462+'Payment Details'!C343+'Payment Details'!C282+'Payment Details'!C221+'Payment Details'!C163+'Payment Details'!C103, 'Payment Details'!C44)</f>
        <v>35000</v>
      </c>
    </row>
    <row r="45">
      <c r="A45" s="53"/>
      <c r="B45" s="54"/>
      <c r="C45" s="80"/>
      <c r="D45" s="10" t="s">
        <v>211</v>
      </c>
      <c r="E45" s="14">
        <f>sum('Payment Details'!C404+'Payment Details'!C463+'Payment Details'!C344+'Payment Details'!C283+'Payment Details'!C222+'Payment Details'!C164+'Payment Details'!C104, 'Payment Details'!C45)</f>
        <v>35000</v>
      </c>
    </row>
    <row r="46">
      <c r="A46" s="53"/>
      <c r="B46" s="54"/>
      <c r="C46" s="80"/>
      <c r="D46" s="10" t="s">
        <v>214</v>
      </c>
      <c r="E46" s="14">
        <f>sum('Payment Details'!C405+'Payment Details'!C464+'Payment Details'!C345+'Payment Details'!C284+'Payment Details'!C223+'Payment Details'!C165+'Payment Details'!C105, 'Payment Details'!C46)</f>
        <v>10000</v>
      </c>
    </row>
    <row r="47">
      <c r="A47" s="53"/>
      <c r="B47" s="54"/>
      <c r="C47" s="80"/>
      <c r="D47" s="10" t="s">
        <v>216</v>
      </c>
      <c r="E47" s="14">
        <f>sum('Payment Details'!C406+'Payment Details'!C465+'Payment Details'!C346+'Payment Details'!C285+'Payment Details'!C224+'Payment Details'!C166+'Payment Details'!C106, 'Payment Details'!C47)</f>
        <v>35000</v>
      </c>
    </row>
    <row r="48">
      <c r="A48" s="53"/>
      <c r="B48" s="54"/>
      <c r="C48" s="80"/>
      <c r="D48" s="10" t="s">
        <v>221</v>
      </c>
      <c r="E48" s="14">
        <f>sum('Payment Details'!C407+'Payment Details'!C466+'Payment Details'!C347+'Payment Details'!C286+'Payment Details'!C225+'Payment Details'!C167+'Payment Details'!C107, 'Payment Details'!C48)</f>
        <v>35000</v>
      </c>
    </row>
    <row r="49">
      <c r="A49" s="53"/>
      <c r="B49" s="54"/>
      <c r="C49" s="80"/>
      <c r="D49" s="10" t="s">
        <v>224</v>
      </c>
      <c r="E49" s="14">
        <f>sum('Payment Details'!C408+'Payment Details'!C467+'Payment Details'!C348+'Payment Details'!C287+'Payment Details'!C226+'Payment Details'!C168+'Payment Details'!C108, 'Payment Details'!C49)</f>
        <v>35000</v>
      </c>
    </row>
    <row r="50">
      <c r="A50" s="53"/>
      <c r="B50" s="54"/>
      <c r="C50" s="80"/>
      <c r="D50" s="97" t="s">
        <v>226</v>
      </c>
      <c r="E50" s="14">
        <f>sum('Payment Details'!C409+'Payment Details'!C468+'Payment Details'!C349+'Payment Details'!C288+'Payment Details'!C227+'Payment Details'!C169+'Payment Details'!C109, 'Payment Details'!C50)</f>
        <v>35000</v>
      </c>
    </row>
    <row r="51">
      <c r="A51" s="53"/>
      <c r="B51" s="54"/>
      <c r="C51" s="80"/>
      <c r="D51" s="98" t="s">
        <v>230</v>
      </c>
      <c r="E51" s="14">
        <f>sum('Payment Details'!C410+'Payment Details'!C469+'Payment Details'!C350+'Payment Details'!C289+'Payment Details'!C228+'Payment Details'!C170+'Payment Details'!C110, 'Payment Details'!C51)</f>
        <v>35000</v>
      </c>
    </row>
    <row r="52">
      <c r="A52" s="53"/>
      <c r="B52" s="54"/>
      <c r="C52" s="80"/>
      <c r="D52" s="100" t="s">
        <v>232</v>
      </c>
      <c r="E52" s="14">
        <f>sum('Payment Details'!C411+'Payment Details'!C470+'Payment Details'!C351+'Payment Details'!C290+'Payment Details'!C229+'Payment Details'!C171+'Payment Details'!C111, 'Payment Details'!C52)</f>
        <v>25000</v>
      </c>
    </row>
    <row r="53">
      <c r="A53" s="53"/>
      <c r="B53" s="54"/>
      <c r="C53" s="80"/>
      <c r="D53" s="100" t="s">
        <v>235</v>
      </c>
      <c r="E53" s="14">
        <f>sum('Payment Details'!C412+'Payment Details'!C471+'Payment Details'!C352+'Payment Details'!C291+'Payment Details'!C230+'Payment Details'!C172+'Payment Details'!C112, 'Payment Details'!C53)</f>
        <v>35000</v>
      </c>
    </row>
    <row r="54">
      <c r="A54" s="53"/>
      <c r="B54" s="54"/>
      <c r="C54" s="80"/>
      <c r="D54" s="100" t="s">
        <v>237</v>
      </c>
      <c r="E54" s="14">
        <f>sum('Payment Details'!C413+'Payment Details'!C472+'Payment Details'!C353+'Payment Details'!C292+'Payment Details'!C231+'Payment Details'!C173+'Payment Details'!C113, 'Payment Details'!C54)</f>
        <v>35000</v>
      </c>
    </row>
    <row r="55">
      <c r="A55" s="53"/>
      <c r="B55" s="54"/>
      <c r="C55" s="80"/>
      <c r="D55" s="100" t="s">
        <v>241</v>
      </c>
      <c r="E55" s="14">
        <f>sum('Payment Details'!C414+'Payment Details'!C473+'Payment Details'!C354+'Payment Details'!C293+'Payment Details'!C232+'Payment Details'!C174+'Payment Details'!C114, 'Payment Details'!C55)</f>
        <v>30000</v>
      </c>
    </row>
    <row r="56">
      <c r="A56" s="53"/>
      <c r="B56" s="54"/>
      <c r="C56" s="80"/>
      <c r="D56" s="104" t="s">
        <v>242</v>
      </c>
      <c r="E56" s="14">
        <f>sum('Payment Details'!C415+'Payment Details'!C474+'Payment Details'!C355+'Payment Details'!C294+'Payment Details'!C233+'Payment Details'!C175+'Payment Details'!C115, 'Payment Details'!C56)</f>
        <v>35000</v>
      </c>
    </row>
    <row r="57">
      <c r="A57" s="53"/>
      <c r="B57" s="54"/>
      <c r="C57" s="105"/>
      <c r="D57" s="106"/>
      <c r="E57" s="14"/>
    </row>
    <row r="58">
      <c r="A58" s="53"/>
      <c r="B58" s="54"/>
      <c r="C58" s="105"/>
      <c r="D58" s="106"/>
      <c r="E58" s="14"/>
    </row>
    <row r="59">
      <c r="A59" s="53"/>
      <c r="B59" s="54"/>
      <c r="C59" s="105"/>
      <c r="D59" s="106"/>
      <c r="E59" s="14"/>
    </row>
    <row r="60">
      <c r="A60" s="53"/>
      <c r="B60" s="54"/>
      <c r="C60" s="105"/>
      <c r="D60" s="106"/>
      <c r="E60" s="14"/>
    </row>
    <row r="61">
      <c r="A61" s="53"/>
      <c r="B61" s="54"/>
      <c r="C61" s="105"/>
      <c r="D61" s="106" t="s">
        <v>246</v>
      </c>
      <c r="E61" s="14">
        <v>52500.0</v>
      </c>
    </row>
    <row r="62">
      <c r="A62" s="53"/>
      <c r="B62" s="54"/>
      <c r="C62" s="105"/>
      <c r="D62" s="106" t="s">
        <v>248</v>
      </c>
      <c r="E62" s="14">
        <v>21000.0</v>
      </c>
    </row>
    <row r="63">
      <c r="A63" s="53"/>
      <c r="B63" s="54"/>
      <c r="C63" s="105"/>
      <c r="D63" s="106" t="s">
        <v>249</v>
      </c>
      <c r="E63" s="14">
        <v>44000.0</v>
      </c>
    </row>
    <row r="64">
      <c r="A64" s="53"/>
      <c r="B64" s="54"/>
      <c r="C64" s="105"/>
      <c r="D64" s="106" t="s">
        <v>250</v>
      </c>
      <c r="E64" s="14">
        <v>7035.0</v>
      </c>
    </row>
    <row r="65">
      <c r="A65" s="53"/>
      <c r="B65" s="54"/>
      <c r="C65" s="105"/>
      <c r="D65" s="106" t="s">
        <v>251</v>
      </c>
      <c r="E65" s="14">
        <v>40000.0</v>
      </c>
    </row>
    <row r="66">
      <c r="A66" s="53"/>
      <c r="B66" s="54"/>
      <c r="C66" s="105"/>
      <c r="D66" s="106" t="s">
        <v>252</v>
      </c>
      <c r="E66" s="65">
        <v>26720.0</v>
      </c>
    </row>
    <row r="67">
      <c r="A67" s="53"/>
      <c r="B67" s="54"/>
      <c r="C67" s="105"/>
      <c r="D67" s="107"/>
      <c r="E67" s="14"/>
    </row>
    <row r="68">
      <c r="A68" s="6" t="s">
        <v>255</v>
      </c>
      <c r="B68" s="108">
        <f>sum(B4:B42)</f>
        <v>1936255</v>
      </c>
      <c r="C68" s="109"/>
      <c r="D68" s="106" t="s">
        <v>255</v>
      </c>
      <c r="E68" s="110">
        <f>sum(E4:E67)</f>
        <v>1936255</v>
      </c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1.75"/>
    <col customWidth="1" min="3" max="3" width="16.0"/>
    <col customWidth="1" min="4" max="5" width="20.38"/>
    <col customWidth="1" min="6" max="6" width="21.63"/>
    <col customWidth="1" min="9" max="9" width="15.13"/>
  </cols>
  <sheetData>
    <row r="1" ht="13.5" customHeight="1">
      <c r="C1" s="21"/>
      <c r="D1" s="22"/>
      <c r="E1" s="22"/>
      <c r="F1" s="25"/>
    </row>
    <row r="2" ht="13.5" customHeight="1">
      <c r="C2" s="21"/>
      <c r="D2" s="22"/>
      <c r="E2" s="22"/>
      <c r="F2" s="25"/>
    </row>
    <row r="3" ht="22.5" customHeight="1">
      <c r="A3" s="29" t="s">
        <v>29</v>
      </c>
      <c r="B3" s="29" t="s">
        <v>13</v>
      </c>
      <c r="C3" s="29" t="s">
        <v>34</v>
      </c>
      <c r="D3" s="33" t="s">
        <v>35</v>
      </c>
      <c r="E3" s="29" t="s">
        <v>38</v>
      </c>
      <c r="F3" s="29" t="s">
        <v>40</v>
      </c>
    </row>
    <row r="4">
      <c r="A4" s="35" t="s">
        <v>42</v>
      </c>
      <c r="B4" s="35" t="s">
        <v>44</v>
      </c>
      <c r="C4" s="36"/>
      <c r="D4" s="37"/>
      <c r="E4" s="38"/>
      <c r="F4" s="37"/>
    </row>
    <row r="5" ht="16.5" customHeight="1">
      <c r="A5" s="39" t="s">
        <v>47</v>
      </c>
      <c r="B5" s="39" t="s">
        <v>44</v>
      </c>
      <c r="C5" s="36"/>
      <c r="D5" s="40"/>
      <c r="E5" s="38"/>
      <c r="F5" s="40"/>
    </row>
    <row r="6" ht="15.0" customHeight="1">
      <c r="A6" s="35" t="s">
        <v>51</v>
      </c>
      <c r="B6" s="35" t="s">
        <v>44</v>
      </c>
      <c r="C6" s="36"/>
      <c r="D6" s="37"/>
      <c r="E6" s="38"/>
      <c r="F6" s="37"/>
    </row>
    <row r="7" ht="13.5" customHeight="1">
      <c r="A7" s="39" t="s">
        <v>55</v>
      </c>
      <c r="B7" s="39" t="s">
        <v>23</v>
      </c>
      <c r="C7" s="36"/>
      <c r="D7" s="40"/>
      <c r="E7" s="38"/>
      <c r="F7" s="40"/>
    </row>
    <row r="8" ht="13.5" customHeight="1">
      <c r="A8" s="35" t="s">
        <v>56</v>
      </c>
      <c r="B8" s="35" t="s">
        <v>23</v>
      </c>
      <c r="C8" s="36"/>
      <c r="D8" s="37"/>
      <c r="E8" s="38"/>
      <c r="F8" s="37"/>
    </row>
    <row r="9" ht="13.5" customHeight="1">
      <c r="A9" s="39" t="s">
        <v>57</v>
      </c>
      <c r="B9" s="39" t="s">
        <v>58</v>
      </c>
      <c r="C9" s="36"/>
      <c r="D9" s="40"/>
      <c r="E9" s="38"/>
      <c r="F9" s="40"/>
    </row>
    <row r="10" ht="13.5" customHeight="1">
      <c r="A10" s="35" t="s">
        <v>60</v>
      </c>
      <c r="B10" s="35" t="s">
        <v>58</v>
      </c>
      <c r="C10" s="36"/>
      <c r="D10" s="37"/>
      <c r="E10" s="38"/>
      <c r="F10" s="37"/>
    </row>
    <row r="11" ht="13.5" customHeight="1">
      <c r="A11" s="39" t="s">
        <v>61</v>
      </c>
      <c r="B11" s="39" t="s">
        <v>62</v>
      </c>
      <c r="C11" s="36"/>
      <c r="D11" s="40"/>
      <c r="E11" s="38"/>
      <c r="F11" s="40"/>
    </row>
    <row r="12" ht="13.5" customHeight="1">
      <c r="A12" s="35" t="s">
        <v>63</v>
      </c>
      <c r="B12" s="35" t="s">
        <v>62</v>
      </c>
      <c r="C12" s="36"/>
      <c r="D12" s="37"/>
      <c r="E12" s="38"/>
      <c r="F12" s="37"/>
    </row>
    <row r="13" ht="13.5" customHeight="1">
      <c r="A13" s="39" t="s">
        <v>65</v>
      </c>
      <c r="B13" s="39" t="s">
        <v>62</v>
      </c>
      <c r="C13" s="36"/>
      <c r="D13" s="40"/>
      <c r="E13" s="38"/>
      <c r="F13" s="40"/>
    </row>
    <row r="14" ht="13.5" customHeight="1">
      <c r="A14" s="35" t="s">
        <v>66</v>
      </c>
      <c r="B14" s="35" t="s">
        <v>62</v>
      </c>
      <c r="C14" s="36"/>
      <c r="D14" s="37"/>
      <c r="E14" s="38"/>
      <c r="F14" s="37"/>
    </row>
    <row r="15" ht="13.5" customHeight="1">
      <c r="A15" s="39" t="s">
        <v>67</v>
      </c>
      <c r="B15" s="39" t="s">
        <v>68</v>
      </c>
      <c r="C15" s="36"/>
      <c r="D15" s="40"/>
      <c r="E15" s="38"/>
      <c r="F15" s="40"/>
    </row>
    <row r="16" ht="13.5" customHeight="1">
      <c r="A16" s="35" t="s">
        <v>69</v>
      </c>
      <c r="B16" s="35" t="s">
        <v>70</v>
      </c>
      <c r="C16" s="36"/>
      <c r="D16" s="37"/>
      <c r="E16" s="38"/>
      <c r="F16" s="37"/>
    </row>
    <row r="17" ht="13.5" customHeight="1">
      <c r="A17" s="39" t="s">
        <v>72</v>
      </c>
      <c r="B17" s="39" t="s">
        <v>70</v>
      </c>
      <c r="C17" s="36"/>
      <c r="D17" s="40"/>
      <c r="E17" s="38"/>
      <c r="F17" s="40"/>
    </row>
    <row r="18" ht="13.5" customHeight="1">
      <c r="A18" s="35" t="s">
        <v>73</v>
      </c>
      <c r="B18" s="35" t="s">
        <v>70</v>
      </c>
      <c r="C18" s="36"/>
      <c r="D18" s="37"/>
      <c r="E18" s="38"/>
      <c r="F18" s="37"/>
    </row>
    <row r="19" ht="13.5" customHeight="1">
      <c r="A19" s="39" t="s">
        <v>74</v>
      </c>
      <c r="B19" s="39" t="s">
        <v>37</v>
      </c>
      <c r="C19" s="36"/>
      <c r="D19" s="40"/>
      <c r="E19" s="38"/>
      <c r="F19" s="40"/>
    </row>
    <row r="20" ht="13.5" customHeight="1">
      <c r="A20" s="35" t="s">
        <v>76</v>
      </c>
      <c r="B20" s="35" t="s">
        <v>37</v>
      </c>
      <c r="C20" s="36"/>
      <c r="D20" s="37"/>
      <c r="E20" s="38"/>
      <c r="F20" s="37"/>
    </row>
    <row r="21" ht="13.5" customHeight="1">
      <c r="A21" s="39" t="s">
        <v>80</v>
      </c>
      <c r="B21" s="39" t="s">
        <v>81</v>
      </c>
      <c r="C21" s="36"/>
      <c r="D21" s="40"/>
      <c r="E21" s="38"/>
      <c r="F21" s="40"/>
    </row>
    <row r="22" ht="13.5" customHeight="1">
      <c r="A22" s="35" t="s">
        <v>82</v>
      </c>
      <c r="B22" s="35" t="s">
        <v>37</v>
      </c>
      <c r="C22" s="41"/>
      <c r="D22" s="37"/>
      <c r="E22" s="38"/>
      <c r="F22" s="37"/>
    </row>
    <row r="23" ht="13.5" customHeight="1">
      <c r="A23" s="39" t="s">
        <v>83</v>
      </c>
      <c r="B23" s="39" t="s">
        <v>84</v>
      </c>
      <c r="C23" s="42"/>
      <c r="D23" s="44"/>
      <c r="E23" s="45"/>
      <c r="F23" s="44"/>
    </row>
    <row r="24" ht="13.5" customHeight="1">
      <c r="A24" s="35" t="s">
        <v>89</v>
      </c>
      <c r="B24" s="35" t="s">
        <v>84</v>
      </c>
      <c r="C24" s="42"/>
      <c r="D24" s="46"/>
      <c r="E24" s="45"/>
      <c r="F24" s="46"/>
    </row>
    <row r="25" ht="13.5" customHeight="1">
      <c r="A25" s="39" t="s">
        <v>90</v>
      </c>
      <c r="B25" s="39" t="s">
        <v>84</v>
      </c>
      <c r="C25" s="42"/>
      <c r="D25" s="44"/>
      <c r="E25" s="45"/>
      <c r="F25" s="44"/>
    </row>
    <row r="26" ht="13.5" customHeight="1">
      <c r="A26" s="35" t="s">
        <v>91</v>
      </c>
      <c r="B26" s="35" t="s">
        <v>92</v>
      </c>
      <c r="C26" s="42"/>
      <c r="D26" s="46"/>
      <c r="E26" s="45"/>
      <c r="F26" s="46"/>
    </row>
    <row r="27" ht="13.5" customHeight="1">
      <c r="A27" s="39" t="s">
        <v>94</v>
      </c>
      <c r="B27" s="39" t="s">
        <v>92</v>
      </c>
      <c r="C27" s="42"/>
      <c r="D27" s="44"/>
      <c r="E27" s="45"/>
      <c r="F27" s="44"/>
    </row>
    <row r="28" ht="13.5" customHeight="1">
      <c r="A28" s="35" t="s">
        <v>96</v>
      </c>
      <c r="B28" s="35" t="s">
        <v>92</v>
      </c>
      <c r="C28" s="42"/>
      <c r="D28" s="46"/>
      <c r="E28" s="45"/>
      <c r="F28" s="46"/>
    </row>
    <row r="29" ht="13.5" customHeight="1">
      <c r="A29" s="39" t="s">
        <v>97</v>
      </c>
      <c r="B29" s="39" t="s">
        <v>46</v>
      </c>
      <c r="C29" s="36"/>
      <c r="D29" s="40"/>
      <c r="E29" s="38"/>
      <c r="F29" s="40"/>
    </row>
    <row r="30" ht="13.5" customHeight="1">
      <c r="A30" s="35" t="s">
        <v>98</v>
      </c>
      <c r="B30" s="35" t="s">
        <v>46</v>
      </c>
      <c r="C30" s="36"/>
      <c r="D30" s="37"/>
      <c r="E30" s="38"/>
      <c r="F30" s="37"/>
    </row>
    <row r="31" ht="13.5" customHeight="1">
      <c r="A31" s="39" t="s">
        <v>99</v>
      </c>
      <c r="B31" s="39" t="s">
        <v>77</v>
      </c>
      <c r="C31" s="36"/>
      <c r="D31" s="47"/>
      <c r="E31" s="38"/>
      <c r="F31" s="40"/>
    </row>
    <row r="32" ht="13.5" customHeight="1">
      <c r="A32" s="35" t="s">
        <v>101</v>
      </c>
      <c r="B32" s="35" t="s">
        <v>102</v>
      </c>
      <c r="C32" s="36"/>
      <c r="D32" s="37"/>
      <c r="E32" s="38"/>
      <c r="F32" s="37"/>
    </row>
    <row r="33" ht="13.5" customHeight="1">
      <c r="A33" s="39" t="s">
        <v>103</v>
      </c>
      <c r="B33" s="39" t="s">
        <v>77</v>
      </c>
      <c r="C33" s="36"/>
      <c r="D33" s="40"/>
      <c r="E33" s="38"/>
      <c r="F33" s="40"/>
    </row>
    <row r="34" ht="13.5" customHeight="1">
      <c r="A34" s="35" t="s">
        <v>105</v>
      </c>
      <c r="B34" s="35" t="s">
        <v>106</v>
      </c>
      <c r="C34" s="36"/>
      <c r="D34" s="37"/>
      <c r="E34" s="38"/>
      <c r="F34" s="37"/>
    </row>
    <row r="35" ht="13.5" customHeight="1">
      <c r="A35" s="39" t="s">
        <v>107</v>
      </c>
      <c r="B35" s="39" t="s">
        <v>108</v>
      </c>
      <c r="C35" s="36"/>
      <c r="D35" s="40"/>
      <c r="E35" s="38"/>
      <c r="F35" s="40"/>
    </row>
    <row r="36" ht="13.5" customHeight="1">
      <c r="A36" s="35" t="s">
        <v>109</v>
      </c>
      <c r="B36" s="35" t="s">
        <v>77</v>
      </c>
      <c r="C36" s="36"/>
      <c r="D36" s="37"/>
      <c r="E36" s="38"/>
      <c r="F36" s="37"/>
    </row>
    <row r="37" ht="13.5" customHeight="1">
      <c r="A37" s="39" t="s">
        <v>110</v>
      </c>
      <c r="B37" s="39" t="s">
        <v>77</v>
      </c>
      <c r="C37" s="36"/>
      <c r="D37" s="40"/>
      <c r="E37" s="38"/>
      <c r="F37" s="40"/>
    </row>
    <row r="38" ht="15.0" customHeight="1">
      <c r="A38" s="35" t="s">
        <v>111</v>
      </c>
      <c r="B38" s="10" t="s">
        <v>113</v>
      </c>
      <c r="C38" s="48">
        <v>5000.0</v>
      </c>
      <c r="D38" s="50" t="s">
        <v>115</v>
      </c>
      <c r="E38" s="51" t="s">
        <v>117</v>
      </c>
      <c r="F38" s="52" t="s">
        <v>118</v>
      </c>
    </row>
    <row r="39" ht="13.5" customHeight="1">
      <c r="A39" s="39" t="s">
        <v>119</v>
      </c>
      <c r="B39" s="39" t="s">
        <v>120</v>
      </c>
      <c r="C39" s="36"/>
      <c r="D39" s="40"/>
      <c r="E39" s="38"/>
      <c r="F39" s="40"/>
    </row>
    <row r="40" ht="13.5" customHeight="1">
      <c r="A40" s="35" t="s">
        <v>121</v>
      </c>
      <c r="B40" s="35" t="s">
        <v>120</v>
      </c>
      <c r="C40" s="36"/>
      <c r="D40" s="37"/>
      <c r="E40" s="38"/>
      <c r="F40" s="37"/>
    </row>
    <row r="41" ht="13.5" customHeight="1">
      <c r="A41" s="39" t="s">
        <v>123</v>
      </c>
      <c r="B41" s="39" t="s">
        <v>120</v>
      </c>
      <c r="C41" s="36"/>
      <c r="D41" s="40"/>
      <c r="E41" s="38"/>
      <c r="F41" s="40"/>
    </row>
    <row r="42" ht="13.5" customHeight="1">
      <c r="A42" s="35" t="s">
        <v>124</v>
      </c>
      <c r="B42" s="35" t="s">
        <v>120</v>
      </c>
      <c r="C42" s="36"/>
      <c r="D42" s="37"/>
      <c r="E42" s="38"/>
      <c r="F42" s="37"/>
    </row>
    <row r="43" ht="13.5" customHeight="1">
      <c r="A43" s="39" t="s">
        <v>126</v>
      </c>
      <c r="B43" s="39" t="s">
        <v>58</v>
      </c>
      <c r="C43" s="36"/>
      <c r="D43" s="40"/>
      <c r="E43" s="38"/>
      <c r="F43" s="40"/>
    </row>
    <row r="44" ht="13.5" customHeight="1">
      <c r="A44" s="35" t="s">
        <v>127</v>
      </c>
      <c r="B44" s="35" t="s">
        <v>58</v>
      </c>
      <c r="C44" s="36"/>
      <c r="D44" s="37"/>
      <c r="E44" s="38"/>
      <c r="F44" s="37"/>
    </row>
    <row r="45" ht="13.5" customHeight="1">
      <c r="A45" s="39" t="s">
        <v>128</v>
      </c>
      <c r="B45" s="39" t="s">
        <v>62</v>
      </c>
      <c r="C45" s="36"/>
      <c r="D45" s="40"/>
      <c r="E45" s="38"/>
      <c r="F45" s="40"/>
    </row>
    <row r="46" ht="13.5" customHeight="1">
      <c r="A46" s="35" t="s">
        <v>129</v>
      </c>
      <c r="B46" s="35" t="s">
        <v>92</v>
      </c>
      <c r="C46" s="42"/>
      <c r="D46" s="46"/>
      <c r="E46" s="45"/>
      <c r="F46" s="46"/>
    </row>
    <row r="47" ht="13.5" customHeight="1">
      <c r="A47" s="39" t="s">
        <v>130</v>
      </c>
      <c r="B47" s="39" t="s">
        <v>23</v>
      </c>
      <c r="C47" s="36"/>
      <c r="D47" s="40"/>
      <c r="E47" s="38"/>
      <c r="F47" s="40"/>
    </row>
    <row r="48" ht="13.5" customHeight="1">
      <c r="A48" s="35" t="s">
        <v>132</v>
      </c>
      <c r="B48" s="35" t="s">
        <v>23</v>
      </c>
      <c r="C48" s="36"/>
      <c r="D48" s="37"/>
      <c r="E48" s="38"/>
      <c r="F48" s="37"/>
    </row>
    <row r="49" ht="13.5" customHeight="1">
      <c r="A49" s="39" t="s">
        <v>133</v>
      </c>
      <c r="B49" s="39" t="s">
        <v>77</v>
      </c>
      <c r="C49" s="36"/>
      <c r="D49" s="40"/>
      <c r="E49" s="38"/>
      <c r="F49" s="40"/>
    </row>
    <row r="50" ht="13.5" customHeight="1">
      <c r="A50" s="35" t="s">
        <v>134</v>
      </c>
      <c r="B50" s="35" t="s">
        <v>70</v>
      </c>
      <c r="C50" s="36"/>
      <c r="D50" s="37"/>
      <c r="E50" s="38"/>
      <c r="F50" s="37"/>
    </row>
    <row r="51" ht="13.5" customHeight="1">
      <c r="A51" s="39" t="s">
        <v>136</v>
      </c>
      <c r="B51" s="39" t="s">
        <v>70</v>
      </c>
      <c r="C51" s="36"/>
      <c r="D51" s="40"/>
      <c r="E51" s="38"/>
      <c r="F51" s="40"/>
    </row>
    <row r="52" ht="13.5" customHeight="1">
      <c r="A52" s="35" t="s">
        <v>137</v>
      </c>
      <c r="B52" s="35" t="s">
        <v>70</v>
      </c>
      <c r="C52" s="36"/>
      <c r="D52" s="37"/>
      <c r="E52" s="38"/>
      <c r="F52" s="37"/>
    </row>
    <row r="53" ht="13.5" customHeight="1">
      <c r="A53" s="39" t="s">
        <v>138</v>
      </c>
      <c r="B53" s="39" t="s">
        <v>70</v>
      </c>
      <c r="C53" s="36"/>
      <c r="D53" s="40"/>
      <c r="E53" s="38"/>
      <c r="F53" s="40"/>
    </row>
    <row r="54" ht="13.5" customHeight="1">
      <c r="A54" s="35" t="s">
        <v>139</v>
      </c>
      <c r="B54" s="35" t="s">
        <v>70</v>
      </c>
      <c r="C54" s="36"/>
      <c r="D54" s="37"/>
      <c r="E54" s="38"/>
      <c r="F54" s="37"/>
    </row>
    <row r="55" ht="13.5" customHeight="1">
      <c r="A55" s="39" t="s">
        <v>140</v>
      </c>
      <c r="B55" s="39" t="s">
        <v>70</v>
      </c>
      <c r="C55" s="42"/>
      <c r="D55" s="44"/>
      <c r="E55" s="45"/>
      <c r="F55" s="44"/>
    </row>
    <row r="56" ht="13.5" customHeight="1">
      <c r="A56" s="35" t="s">
        <v>143</v>
      </c>
      <c r="B56" s="35" t="s">
        <v>144</v>
      </c>
      <c r="C56" s="36"/>
      <c r="D56" s="37"/>
      <c r="E56" s="38"/>
      <c r="F56" s="37"/>
    </row>
    <row r="57" ht="13.5" customHeight="1">
      <c r="C57" s="21"/>
      <c r="D57" s="22"/>
      <c r="E57" s="22"/>
      <c r="F57" s="25"/>
    </row>
    <row r="58" ht="13.5" customHeight="1">
      <c r="C58" s="21"/>
      <c r="D58" s="22"/>
      <c r="E58" s="22"/>
      <c r="F58" s="25"/>
    </row>
    <row r="59" ht="13.5" customHeight="1">
      <c r="C59" s="21"/>
      <c r="D59" s="22"/>
      <c r="E59" s="22"/>
      <c r="F59" s="25"/>
    </row>
    <row r="60" ht="13.5" customHeight="1">
      <c r="C60" s="21"/>
      <c r="D60" s="22"/>
      <c r="E60" s="22"/>
      <c r="F60" s="25"/>
    </row>
    <row r="61" ht="13.5" customHeight="1">
      <c r="C61" s="21"/>
      <c r="D61" s="22"/>
      <c r="E61" s="22"/>
      <c r="F61" s="25"/>
    </row>
    <row r="62" ht="22.5" customHeight="1">
      <c r="A62" s="29" t="s">
        <v>29</v>
      </c>
      <c r="B62" s="29" t="s">
        <v>13</v>
      </c>
      <c r="C62" s="29" t="s">
        <v>34</v>
      </c>
      <c r="D62" s="33" t="s">
        <v>35</v>
      </c>
      <c r="E62" s="29" t="s">
        <v>38</v>
      </c>
      <c r="F62" s="29" t="s">
        <v>40</v>
      </c>
    </row>
    <row r="63" ht="16.5" customHeight="1">
      <c r="A63" s="19" t="s">
        <v>42</v>
      </c>
      <c r="B63" s="19" t="s">
        <v>44</v>
      </c>
      <c r="C63" s="56">
        <v>5000.0</v>
      </c>
      <c r="D63" s="57" t="s">
        <v>115</v>
      </c>
      <c r="E63" s="59" t="s">
        <v>150</v>
      </c>
      <c r="F63" s="60" t="s">
        <v>151</v>
      </c>
    </row>
    <row r="64" ht="13.5" customHeight="1">
      <c r="A64" s="19" t="s">
        <v>47</v>
      </c>
      <c r="B64" s="19" t="s">
        <v>44</v>
      </c>
      <c r="C64" s="56">
        <v>5000.0</v>
      </c>
      <c r="D64" s="57" t="s">
        <v>115</v>
      </c>
      <c r="E64" s="59" t="s">
        <v>150</v>
      </c>
      <c r="F64" s="60" t="s">
        <v>151</v>
      </c>
    </row>
    <row r="65" ht="13.5" customHeight="1">
      <c r="A65" s="19" t="s">
        <v>51</v>
      </c>
      <c r="B65" s="19" t="s">
        <v>44</v>
      </c>
      <c r="C65" s="56">
        <v>5000.0</v>
      </c>
      <c r="D65" s="57" t="s">
        <v>115</v>
      </c>
      <c r="E65" s="59" t="s">
        <v>150</v>
      </c>
      <c r="F65" s="60" t="s">
        <v>151</v>
      </c>
    </row>
    <row r="66" ht="13.5" customHeight="1">
      <c r="A66" s="19" t="s">
        <v>55</v>
      </c>
      <c r="B66" s="19" t="s">
        <v>23</v>
      </c>
      <c r="C66" s="56">
        <v>5000.0</v>
      </c>
      <c r="D66" s="57" t="s">
        <v>115</v>
      </c>
      <c r="E66" s="59" t="s">
        <v>159</v>
      </c>
      <c r="F66" s="60" t="s">
        <v>160</v>
      </c>
    </row>
    <row r="67" ht="13.5" customHeight="1">
      <c r="A67" s="19" t="s">
        <v>56</v>
      </c>
      <c r="B67" s="19" t="s">
        <v>23</v>
      </c>
      <c r="C67" s="56">
        <v>5000.0</v>
      </c>
      <c r="D67" s="57" t="s">
        <v>115</v>
      </c>
      <c r="E67" s="59" t="s">
        <v>159</v>
      </c>
      <c r="F67" s="60" t="s">
        <v>160</v>
      </c>
    </row>
    <row r="68" ht="13.5" customHeight="1">
      <c r="A68" s="19" t="s">
        <v>57</v>
      </c>
      <c r="B68" s="19" t="s">
        <v>58</v>
      </c>
      <c r="C68" s="56">
        <v>5000.0</v>
      </c>
      <c r="D68" s="57" t="s">
        <v>115</v>
      </c>
      <c r="E68" s="59" t="s">
        <v>170</v>
      </c>
      <c r="F68" s="57" t="s">
        <v>171</v>
      </c>
    </row>
    <row r="69" ht="13.5" customHeight="1">
      <c r="A69" s="19" t="s">
        <v>60</v>
      </c>
      <c r="B69" s="19" t="s">
        <v>58</v>
      </c>
      <c r="C69" s="56">
        <v>5000.0</v>
      </c>
      <c r="D69" s="57" t="s">
        <v>115</v>
      </c>
      <c r="E69" s="59" t="s">
        <v>170</v>
      </c>
      <c r="F69" s="60" t="s">
        <v>171</v>
      </c>
    </row>
    <row r="70" ht="13.5" customHeight="1">
      <c r="A70" s="19" t="s">
        <v>61</v>
      </c>
      <c r="B70" s="19" t="s">
        <v>62</v>
      </c>
      <c r="C70" s="56">
        <v>5000.0</v>
      </c>
      <c r="D70" s="57" t="s">
        <v>115</v>
      </c>
      <c r="E70" s="59" t="s">
        <v>159</v>
      </c>
      <c r="F70" s="60" t="s">
        <v>178</v>
      </c>
    </row>
    <row r="71" ht="13.5" customHeight="1">
      <c r="A71" s="19" t="s">
        <v>63</v>
      </c>
      <c r="B71" s="19" t="s">
        <v>62</v>
      </c>
      <c r="C71" s="56">
        <v>5000.0</v>
      </c>
      <c r="D71" s="57" t="s">
        <v>115</v>
      </c>
      <c r="E71" s="59" t="s">
        <v>159</v>
      </c>
      <c r="F71" s="60" t="s">
        <v>178</v>
      </c>
    </row>
    <row r="72" ht="13.5" customHeight="1">
      <c r="A72" s="19" t="s">
        <v>65</v>
      </c>
      <c r="B72" s="19" t="s">
        <v>62</v>
      </c>
      <c r="C72" s="56">
        <v>5000.0</v>
      </c>
      <c r="D72" s="57" t="s">
        <v>115</v>
      </c>
      <c r="E72" s="59" t="s">
        <v>159</v>
      </c>
      <c r="F72" s="60" t="s">
        <v>178</v>
      </c>
    </row>
    <row r="73" ht="13.5" customHeight="1">
      <c r="A73" s="19" t="s">
        <v>66</v>
      </c>
      <c r="B73" s="19" t="s">
        <v>62</v>
      </c>
      <c r="C73" s="56">
        <v>5000.0</v>
      </c>
      <c r="D73" s="57" t="s">
        <v>115</v>
      </c>
      <c r="E73" s="59" t="s">
        <v>159</v>
      </c>
      <c r="F73" s="60" t="s">
        <v>178</v>
      </c>
    </row>
    <row r="74" ht="13.5" customHeight="1">
      <c r="A74" s="19" t="s">
        <v>67</v>
      </c>
      <c r="B74" s="19" t="s">
        <v>68</v>
      </c>
      <c r="C74" s="56">
        <v>5000.0</v>
      </c>
      <c r="D74" s="57" t="s">
        <v>115</v>
      </c>
      <c r="E74" s="59" t="s">
        <v>150</v>
      </c>
      <c r="F74" s="60" t="s">
        <v>203</v>
      </c>
    </row>
    <row r="75" ht="13.5" customHeight="1">
      <c r="A75" s="19" t="s">
        <v>69</v>
      </c>
      <c r="B75" s="19" t="s">
        <v>70</v>
      </c>
      <c r="C75" s="56">
        <v>5000.0</v>
      </c>
      <c r="D75" s="57" t="s">
        <v>115</v>
      </c>
      <c r="E75" s="59" t="s">
        <v>159</v>
      </c>
      <c r="F75" s="60" t="s">
        <v>207</v>
      </c>
    </row>
    <row r="76" ht="13.5" customHeight="1">
      <c r="A76" s="19" t="s">
        <v>72</v>
      </c>
      <c r="B76" s="19" t="s">
        <v>70</v>
      </c>
      <c r="C76" s="56">
        <v>5000.0</v>
      </c>
      <c r="D76" s="57" t="s">
        <v>115</v>
      </c>
      <c r="E76" s="59" t="s">
        <v>159</v>
      </c>
      <c r="F76" s="60" t="s">
        <v>207</v>
      </c>
    </row>
    <row r="77" ht="13.5" customHeight="1">
      <c r="A77" s="19" t="s">
        <v>73</v>
      </c>
      <c r="B77" s="19" t="s">
        <v>70</v>
      </c>
      <c r="C77" s="56">
        <v>5000.0</v>
      </c>
      <c r="D77" s="57" t="s">
        <v>115</v>
      </c>
      <c r="E77" s="59" t="s">
        <v>159</v>
      </c>
      <c r="F77" s="60" t="s">
        <v>207</v>
      </c>
    </row>
    <row r="78" ht="13.5" customHeight="1">
      <c r="A78" s="19" t="s">
        <v>74</v>
      </c>
      <c r="B78" s="19" t="s">
        <v>37</v>
      </c>
      <c r="C78" s="56">
        <v>5000.0</v>
      </c>
      <c r="D78" s="57" t="s">
        <v>115</v>
      </c>
      <c r="E78" s="59" t="s">
        <v>218</v>
      </c>
      <c r="F78" s="60" t="s">
        <v>219</v>
      </c>
    </row>
    <row r="79" ht="13.5" customHeight="1">
      <c r="A79" s="19" t="s">
        <v>76</v>
      </c>
      <c r="B79" s="19" t="s">
        <v>37</v>
      </c>
      <c r="C79" s="56">
        <v>5000.0</v>
      </c>
      <c r="D79" s="57" t="s">
        <v>115</v>
      </c>
      <c r="E79" s="59" t="s">
        <v>218</v>
      </c>
      <c r="F79" s="60" t="s">
        <v>219</v>
      </c>
    </row>
    <row r="80" ht="13.5" customHeight="1">
      <c r="A80" s="19" t="s">
        <v>80</v>
      </c>
      <c r="B80" s="19" t="s">
        <v>81</v>
      </c>
      <c r="C80" s="56">
        <v>5000.0</v>
      </c>
      <c r="D80" s="57" t="s">
        <v>115</v>
      </c>
      <c r="E80" s="59" t="s">
        <v>228</v>
      </c>
      <c r="F80" s="60" t="s">
        <v>229</v>
      </c>
    </row>
    <row r="81" ht="13.5" customHeight="1">
      <c r="A81" s="19" t="s">
        <v>82</v>
      </c>
      <c r="B81" s="19" t="s">
        <v>37</v>
      </c>
      <c r="C81" s="99">
        <v>5000.0</v>
      </c>
      <c r="D81" s="57" t="s">
        <v>115</v>
      </c>
      <c r="E81" s="59" t="s">
        <v>228</v>
      </c>
      <c r="F81" s="60" t="s">
        <v>229</v>
      </c>
    </row>
    <row r="82" ht="13.5" customHeight="1">
      <c r="A82" s="19" t="s">
        <v>83</v>
      </c>
      <c r="B82" s="19" t="s">
        <v>84</v>
      </c>
      <c r="C82" s="56"/>
      <c r="D82" s="57"/>
      <c r="E82" s="59"/>
      <c r="F82" s="60"/>
    </row>
    <row r="83" ht="13.5" customHeight="1">
      <c r="A83" s="19" t="s">
        <v>89</v>
      </c>
      <c r="B83" s="19" t="s">
        <v>84</v>
      </c>
      <c r="C83" s="56"/>
      <c r="D83" s="57"/>
      <c r="E83" s="59"/>
      <c r="F83" s="60"/>
    </row>
    <row r="84" ht="13.5" customHeight="1">
      <c r="A84" s="19" t="s">
        <v>90</v>
      </c>
      <c r="B84" s="19" t="s">
        <v>84</v>
      </c>
      <c r="C84" s="56"/>
      <c r="D84" s="57"/>
      <c r="E84" s="59"/>
      <c r="F84" s="60"/>
    </row>
    <row r="85" ht="13.5" customHeight="1">
      <c r="A85" s="19" t="s">
        <v>91</v>
      </c>
      <c r="B85" s="19" t="s">
        <v>92</v>
      </c>
      <c r="C85" s="56"/>
      <c r="D85" s="57"/>
      <c r="E85" s="59"/>
      <c r="F85" s="60"/>
    </row>
    <row r="86" ht="13.5" customHeight="1">
      <c r="A86" s="19" t="s">
        <v>94</v>
      </c>
      <c r="B86" s="19" t="s">
        <v>92</v>
      </c>
      <c r="C86" s="56"/>
      <c r="D86" s="57"/>
      <c r="E86" s="59"/>
      <c r="F86" s="60"/>
    </row>
    <row r="87" ht="13.5" customHeight="1">
      <c r="A87" s="19" t="s">
        <v>96</v>
      </c>
      <c r="B87" s="19" t="s">
        <v>92</v>
      </c>
      <c r="C87" s="56"/>
      <c r="D87" s="57"/>
      <c r="E87" s="59"/>
      <c r="F87" s="60"/>
    </row>
    <row r="88" ht="13.5" customHeight="1">
      <c r="A88" s="19" t="s">
        <v>97</v>
      </c>
      <c r="B88" s="19" t="s">
        <v>46</v>
      </c>
      <c r="C88" s="56">
        <v>5000.0</v>
      </c>
      <c r="D88" s="57" t="s">
        <v>115</v>
      </c>
      <c r="E88" s="59" t="s">
        <v>218</v>
      </c>
      <c r="F88" s="60" t="s">
        <v>260</v>
      </c>
    </row>
    <row r="89" ht="13.5" customHeight="1">
      <c r="A89" s="19" t="s">
        <v>98</v>
      </c>
      <c r="B89" s="19" t="s">
        <v>46</v>
      </c>
      <c r="C89" s="56">
        <v>5000.0</v>
      </c>
      <c r="D89" s="57" t="s">
        <v>115</v>
      </c>
      <c r="E89" s="59" t="s">
        <v>218</v>
      </c>
      <c r="F89" s="60" t="s">
        <v>260</v>
      </c>
    </row>
    <row r="90" ht="15.75" customHeight="1">
      <c r="A90" s="19" t="s">
        <v>99</v>
      </c>
      <c r="B90" s="19" t="s">
        <v>77</v>
      </c>
      <c r="C90" s="56">
        <v>5000.0</v>
      </c>
      <c r="D90" s="121" t="s">
        <v>274</v>
      </c>
      <c r="E90" s="59" t="s">
        <v>275</v>
      </c>
      <c r="F90" s="60" t="s">
        <v>276</v>
      </c>
    </row>
    <row r="91" ht="13.5" customHeight="1">
      <c r="A91" s="19" t="s">
        <v>101</v>
      </c>
      <c r="B91" s="19" t="s">
        <v>102</v>
      </c>
      <c r="C91" s="56">
        <v>5000.0</v>
      </c>
      <c r="D91" s="57" t="s">
        <v>115</v>
      </c>
      <c r="E91" s="59" t="s">
        <v>278</v>
      </c>
      <c r="F91" s="60" t="s">
        <v>279</v>
      </c>
    </row>
    <row r="92" ht="13.5" customHeight="1">
      <c r="A92" s="19" t="s">
        <v>103</v>
      </c>
      <c r="B92" s="19" t="s">
        <v>77</v>
      </c>
      <c r="C92" s="56">
        <v>5000.0</v>
      </c>
      <c r="D92" s="57" t="s">
        <v>115</v>
      </c>
      <c r="E92" s="59" t="s">
        <v>282</v>
      </c>
      <c r="F92" s="60" t="s">
        <v>284</v>
      </c>
    </row>
    <row r="93" ht="13.5" customHeight="1">
      <c r="A93" s="19" t="s">
        <v>105</v>
      </c>
      <c r="B93" s="19" t="s">
        <v>106</v>
      </c>
      <c r="C93" s="56">
        <v>5000.0</v>
      </c>
      <c r="D93" s="57" t="s">
        <v>115</v>
      </c>
      <c r="E93" s="59" t="s">
        <v>278</v>
      </c>
      <c r="F93" s="60" t="s">
        <v>286</v>
      </c>
    </row>
    <row r="94" ht="13.5" customHeight="1">
      <c r="A94" s="19" t="s">
        <v>107</v>
      </c>
      <c r="B94" s="19" t="s">
        <v>108</v>
      </c>
      <c r="C94" s="56">
        <v>5000.0</v>
      </c>
      <c r="D94" s="57" t="s">
        <v>115</v>
      </c>
      <c r="E94" s="59" t="s">
        <v>170</v>
      </c>
      <c r="F94" s="60" t="s">
        <v>287</v>
      </c>
    </row>
    <row r="95" ht="13.5" customHeight="1">
      <c r="A95" s="19" t="s">
        <v>109</v>
      </c>
      <c r="B95" s="19" t="s">
        <v>77</v>
      </c>
      <c r="C95" s="56">
        <v>5000.0</v>
      </c>
      <c r="D95" s="57" t="s">
        <v>115</v>
      </c>
      <c r="E95" s="59" t="s">
        <v>282</v>
      </c>
      <c r="F95" s="60" t="s">
        <v>284</v>
      </c>
    </row>
    <row r="96" ht="13.5" customHeight="1">
      <c r="A96" s="19" t="s">
        <v>110</v>
      </c>
      <c r="B96" s="19" t="s">
        <v>77</v>
      </c>
      <c r="C96" s="56">
        <v>5000.0</v>
      </c>
      <c r="D96" s="57" t="s">
        <v>115</v>
      </c>
      <c r="E96" s="59" t="s">
        <v>282</v>
      </c>
      <c r="F96" s="60" t="s">
        <v>284</v>
      </c>
    </row>
    <row r="97" ht="18.0" customHeight="1">
      <c r="A97" s="19" t="s">
        <v>111</v>
      </c>
      <c r="B97" s="19" t="s">
        <v>113</v>
      </c>
      <c r="C97" s="56">
        <v>5000.0</v>
      </c>
      <c r="D97" s="121" t="s">
        <v>274</v>
      </c>
      <c r="E97" s="59" t="s">
        <v>117</v>
      </c>
      <c r="F97" s="60" t="s">
        <v>118</v>
      </c>
    </row>
    <row r="98" ht="13.5" customHeight="1">
      <c r="A98" s="19" t="s">
        <v>119</v>
      </c>
      <c r="B98" s="19" t="s">
        <v>120</v>
      </c>
      <c r="C98" s="56">
        <v>5000.0</v>
      </c>
      <c r="D98" s="57" t="s">
        <v>115</v>
      </c>
      <c r="E98" s="59" t="s">
        <v>228</v>
      </c>
      <c r="F98" s="60" t="s">
        <v>293</v>
      </c>
    </row>
    <row r="99" ht="13.5" customHeight="1">
      <c r="A99" s="19" t="s">
        <v>121</v>
      </c>
      <c r="B99" s="19" t="s">
        <v>120</v>
      </c>
      <c r="C99" s="56">
        <v>5000.0</v>
      </c>
      <c r="D99" s="57" t="s">
        <v>115</v>
      </c>
      <c r="E99" s="59" t="s">
        <v>228</v>
      </c>
      <c r="F99" s="60" t="s">
        <v>293</v>
      </c>
    </row>
    <row r="100" ht="13.5" customHeight="1">
      <c r="A100" s="19" t="s">
        <v>123</v>
      </c>
      <c r="B100" s="19" t="s">
        <v>120</v>
      </c>
      <c r="C100" s="56">
        <v>5000.0</v>
      </c>
      <c r="D100" s="57" t="s">
        <v>115</v>
      </c>
      <c r="E100" s="59" t="s">
        <v>228</v>
      </c>
      <c r="F100" s="60" t="s">
        <v>306</v>
      </c>
    </row>
    <row r="101" ht="13.5" customHeight="1">
      <c r="A101" s="19" t="s">
        <v>124</v>
      </c>
      <c r="B101" s="19" t="s">
        <v>120</v>
      </c>
      <c r="C101" s="56">
        <v>5000.0</v>
      </c>
      <c r="D101" s="57" t="s">
        <v>115</v>
      </c>
      <c r="E101" s="59" t="s">
        <v>228</v>
      </c>
      <c r="F101" s="60" t="s">
        <v>306</v>
      </c>
    </row>
    <row r="102" ht="13.5" customHeight="1">
      <c r="A102" s="19" t="s">
        <v>126</v>
      </c>
      <c r="B102" s="19" t="s">
        <v>58</v>
      </c>
      <c r="C102" s="56">
        <v>5000.0</v>
      </c>
      <c r="D102" s="57" t="s">
        <v>115</v>
      </c>
      <c r="E102" s="59" t="s">
        <v>282</v>
      </c>
      <c r="F102" s="60" t="s">
        <v>308</v>
      </c>
    </row>
    <row r="103" ht="13.5" customHeight="1">
      <c r="A103" s="19" t="s">
        <v>127</v>
      </c>
      <c r="B103" s="19" t="s">
        <v>58</v>
      </c>
      <c r="C103" s="56">
        <v>5000.0</v>
      </c>
      <c r="D103" s="57" t="s">
        <v>115</v>
      </c>
      <c r="E103" s="59" t="s">
        <v>282</v>
      </c>
      <c r="F103" s="60" t="s">
        <v>308</v>
      </c>
    </row>
    <row r="104" ht="13.5" customHeight="1">
      <c r="A104" s="19" t="s">
        <v>128</v>
      </c>
      <c r="B104" s="19" t="s">
        <v>62</v>
      </c>
      <c r="C104" s="56">
        <v>5000.0</v>
      </c>
      <c r="D104" s="57" t="s">
        <v>115</v>
      </c>
      <c r="E104" s="59" t="s">
        <v>159</v>
      </c>
      <c r="F104" s="60" t="s">
        <v>178</v>
      </c>
    </row>
    <row r="105" ht="13.5" customHeight="1">
      <c r="A105" s="19" t="s">
        <v>129</v>
      </c>
      <c r="B105" s="19" t="s">
        <v>92</v>
      </c>
      <c r="C105" s="56"/>
      <c r="D105" s="57"/>
      <c r="E105" s="59"/>
      <c r="F105" s="60"/>
    </row>
    <row r="106" ht="13.5" customHeight="1">
      <c r="A106" s="19" t="s">
        <v>130</v>
      </c>
      <c r="B106" s="19" t="s">
        <v>23</v>
      </c>
      <c r="C106" s="56">
        <v>5000.0</v>
      </c>
      <c r="D106" s="57" t="s">
        <v>115</v>
      </c>
      <c r="E106" s="59" t="s">
        <v>159</v>
      </c>
      <c r="F106" s="60" t="s">
        <v>160</v>
      </c>
    </row>
    <row r="107" ht="13.5" customHeight="1">
      <c r="A107" s="19" t="s">
        <v>132</v>
      </c>
      <c r="B107" s="19" t="s">
        <v>23</v>
      </c>
      <c r="C107" s="56">
        <v>5000.0</v>
      </c>
      <c r="D107" s="57" t="s">
        <v>115</v>
      </c>
      <c r="E107" s="59" t="s">
        <v>159</v>
      </c>
      <c r="F107" s="60" t="s">
        <v>160</v>
      </c>
    </row>
    <row r="108" ht="13.5" customHeight="1">
      <c r="A108" s="19" t="s">
        <v>133</v>
      </c>
      <c r="B108" s="19" t="s">
        <v>77</v>
      </c>
      <c r="C108" s="56">
        <v>5000.0</v>
      </c>
      <c r="D108" s="57" t="s">
        <v>115</v>
      </c>
      <c r="E108" s="59" t="s">
        <v>282</v>
      </c>
      <c r="F108" s="60" t="s">
        <v>284</v>
      </c>
    </row>
    <row r="109" ht="13.5" customHeight="1">
      <c r="A109" s="19" t="s">
        <v>134</v>
      </c>
      <c r="B109" s="19" t="s">
        <v>70</v>
      </c>
      <c r="C109" s="56">
        <v>5000.0</v>
      </c>
      <c r="D109" s="57" t="s">
        <v>115</v>
      </c>
      <c r="E109" s="59" t="s">
        <v>170</v>
      </c>
      <c r="F109" s="60" t="s">
        <v>326</v>
      </c>
    </row>
    <row r="110" ht="13.5" customHeight="1">
      <c r="A110" s="19" t="s">
        <v>136</v>
      </c>
      <c r="B110" s="19" t="s">
        <v>70</v>
      </c>
      <c r="C110" s="56">
        <v>5000.0</v>
      </c>
      <c r="D110" s="57" t="s">
        <v>115</v>
      </c>
      <c r="E110" s="59" t="s">
        <v>159</v>
      </c>
      <c r="F110" s="60" t="s">
        <v>207</v>
      </c>
    </row>
    <row r="111" ht="13.5" customHeight="1">
      <c r="A111" s="19" t="s">
        <v>137</v>
      </c>
      <c r="B111" s="19" t="s">
        <v>70</v>
      </c>
      <c r="C111" s="56">
        <v>5000.0</v>
      </c>
      <c r="D111" s="57" t="s">
        <v>115</v>
      </c>
      <c r="E111" s="59" t="s">
        <v>159</v>
      </c>
      <c r="F111" s="60" t="s">
        <v>207</v>
      </c>
    </row>
    <row r="112" ht="13.5" customHeight="1">
      <c r="A112" s="19" t="s">
        <v>138</v>
      </c>
      <c r="B112" s="19" t="s">
        <v>70</v>
      </c>
      <c r="C112" s="56">
        <v>5000.0</v>
      </c>
      <c r="D112" s="57" t="s">
        <v>115</v>
      </c>
      <c r="E112" s="59" t="s">
        <v>170</v>
      </c>
      <c r="F112" s="60" t="s">
        <v>326</v>
      </c>
    </row>
    <row r="113" ht="13.5" customHeight="1">
      <c r="A113" s="19" t="s">
        <v>139</v>
      </c>
      <c r="B113" s="19" t="s">
        <v>70</v>
      </c>
      <c r="C113" s="56">
        <v>5000.0</v>
      </c>
      <c r="D113" s="57" t="s">
        <v>115</v>
      </c>
      <c r="E113" s="59" t="s">
        <v>327</v>
      </c>
      <c r="F113" s="60" t="s">
        <v>328</v>
      </c>
    </row>
    <row r="114" ht="13.5" customHeight="1">
      <c r="A114" s="19" t="s">
        <v>140</v>
      </c>
      <c r="B114" s="19" t="s">
        <v>70</v>
      </c>
      <c r="C114" s="56"/>
      <c r="D114" s="57"/>
      <c r="E114" s="59"/>
      <c r="F114" s="60"/>
    </row>
    <row r="115" ht="13.5" customHeight="1">
      <c r="A115" s="19" t="s">
        <v>143</v>
      </c>
      <c r="B115" s="19" t="s">
        <v>144</v>
      </c>
      <c r="C115" s="56">
        <v>5000.0</v>
      </c>
      <c r="D115" s="57" t="s">
        <v>115</v>
      </c>
      <c r="E115" s="59" t="s">
        <v>327</v>
      </c>
      <c r="F115" s="60" t="s">
        <v>329</v>
      </c>
    </row>
    <row r="116" ht="13.5" customHeight="1">
      <c r="C116" s="21"/>
      <c r="D116" s="22"/>
      <c r="E116" s="22"/>
      <c r="F116" s="25"/>
    </row>
    <row r="117" ht="13.5" customHeight="1">
      <c r="C117" s="21"/>
      <c r="D117" s="22"/>
      <c r="E117" s="22"/>
      <c r="F117" s="25"/>
    </row>
    <row r="118" ht="13.5" customHeight="1">
      <c r="C118" s="21"/>
      <c r="D118" s="22"/>
      <c r="E118" s="22"/>
      <c r="F118" s="25"/>
    </row>
    <row r="119" ht="13.5" customHeight="1">
      <c r="C119" s="21"/>
      <c r="D119" s="22"/>
      <c r="E119" s="22"/>
      <c r="F119" s="25"/>
    </row>
    <row r="120" ht="13.5" customHeight="1">
      <c r="C120" s="21"/>
      <c r="D120" s="22"/>
      <c r="E120" s="22"/>
      <c r="F120" s="25"/>
    </row>
    <row r="121" ht="15.0" customHeight="1">
      <c r="C121" s="21">
        <v>46174.0</v>
      </c>
      <c r="D121" s="22"/>
      <c r="E121" s="166">
        <f>SUM(June_2026[Payment])</f>
        <v>230000</v>
      </c>
      <c r="F121" s="25"/>
    </row>
    <row r="122" ht="15.0" customHeight="1">
      <c r="A122" s="29" t="s">
        <v>29</v>
      </c>
      <c r="B122" s="29" t="s">
        <v>13</v>
      </c>
      <c r="C122" s="29" t="s">
        <v>34</v>
      </c>
      <c r="D122" s="33" t="s">
        <v>35</v>
      </c>
      <c r="E122" s="29" t="s">
        <v>38</v>
      </c>
      <c r="F122" s="29" t="s">
        <v>40</v>
      </c>
    </row>
    <row r="123" ht="15.0" customHeight="1">
      <c r="A123" s="19" t="s">
        <v>42</v>
      </c>
      <c r="B123" s="19" t="s">
        <v>44</v>
      </c>
      <c r="C123" s="56">
        <v>5000.0</v>
      </c>
      <c r="D123" s="57" t="s">
        <v>115</v>
      </c>
      <c r="E123" s="59" t="s">
        <v>330</v>
      </c>
      <c r="F123" s="60" t="s">
        <v>332</v>
      </c>
    </row>
    <row r="124" ht="15.0" customHeight="1">
      <c r="A124" s="19" t="s">
        <v>47</v>
      </c>
      <c r="B124" s="19" t="s">
        <v>44</v>
      </c>
      <c r="C124" s="56">
        <v>5000.0</v>
      </c>
      <c r="D124" s="57" t="s">
        <v>115</v>
      </c>
      <c r="E124" s="59" t="s">
        <v>330</v>
      </c>
      <c r="F124" s="60" t="s">
        <v>332</v>
      </c>
    </row>
    <row r="125" ht="15.0" customHeight="1">
      <c r="A125" s="19" t="s">
        <v>51</v>
      </c>
      <c r="B125" s="19" t="s">
        <v>44</v>
      </c>
      <c r="C125" s="171">
        <v>5000.0</v>
      </c>
      <c r="D125" s="172" t="s">
        <v>115</v>
      </c>
      <c r="E125" s="175" t="s">
        <v>330</v>
      </c>
      <c r="F125" s="60" t="s">
        <v>332</v>
      </c>
    </row>
    <row r="126" ht="15.0" customHeight="1">
      <c r="A126" s="19" t="s">
        <v>55</v>
      </c>
      <c r="B126" s="19" t="s">
        <v>23</v>
      </c>
      <c r="C126" s="56">
        <v>5000.0</v>
      </c>
      <c r="D126" s="172" t="s">
        <v>115</v>
      </c>
      <c r="E126" s="59" t="s">
        <v>351</v>
      </c>
      <c r="F126" s="60" t="s">
        <v>352</v>
      </c>
    </row>
    <row r="127" ht="15.0" customHeight="1">
      <c r="A127" s="19" t="s">
        <v>56</v>
      </c>
      <c r="B127" s="19" t="s">
        <v>23</v>
      </c>
      <c r="C127" s="56">
        <v>5000.0</v>
      </c>
      <c r="D127" s="172" t="s">
        <v>115</v>
      </c>
      <c r="E127" s="59" t="s">
        <v>351</v>
      </c>
      <c r="F127" s="60" t="s">
        <v>352</v>
      </c>
    </row>
    <row r="128" ht="15.0" customHeight="1">
      <c r="A128" s="19" t="s">
        <v>57</v>
      </c>
      <c r="B128" s="19" t="s">
        <v>58</v>
      </c>
      <c r="C128" s="171">
        <v>5000.0</v>
      </c>
      <c r="D128" s="172" t="s">
        <v>115</v>
      </c>
      <c r="E128" s="175" t="s">
        <v>330</v>
      </c>
      <c r="F128" s="60" t="s">
        <v>356</v>
      </c>
    </row>
    <row r="129" ht="15.0" customHeight="1">
      <c r="A129" s="19" t="s">
        <v>60</v>
      </c>
      <c r="B129" s="19" t="s">
        <v>58</v>
      </c>
      <c r="C129" s="171">
        <v>5000.0</v>
      </c>
      <c r="D129" s="172" t="s">
        <v>115</v>
      </c>
      <c r="E129" s="175" t="s">
        <v>330</v>
      </c>
      <c r="F129" s="60" t="s">
        <v>356</v>
      </c>
    </row>
    <row r="130" ht="15.0" customHeight="1">
      <c r="A130" s="19" t="s">
        <v>61</v>
      </c>
      <c r="B130" s="19" t="s">
        <v>62</v>
      </c>
      <c r="C130" s="171">
        <v>5000.0</v>
      </c>
      <c r="D130" s="172" t="s">
        <v>115</v>
      </c>
      <c r="E130" s="175" t="s">
        <v>330</v>
      </c>
      <c r="F130" s="60" t="s">
        <v>357</v>
      </c>
    </row>
    <row r="131" ht="15.0" customHeight="1">
      <c r="A131" s="19" t="s">
        <v>63</v>
      </c>
      <c r="B131" s="19" t="s">
        <v>62</v>
      </c>
      <c r="C131" s="171">
        <v>5000.0</v>
      </c>
      <c r="D131" s="172" t="s">
        <v>115</v>
      </c>
      <c r="E131" s="175" t="s">
        <v>330</v>
      </c>
      <c r="F131" s="60" t="s">
        <v>357</v>
      </c>
    </row>
    <row r="132" ht="15.0" customHeight="1">
      <c r="A132" s="19" t="s">
        <v>65</v>
      </c>
      <c r="B132" s="19" t="s">
        <v>62</v>
      </c>
      <c r="C132" s="171">
        <v>5000.0</v>
      </c>
      <c r="D132" s="172" t="s">
        <v>115</v>
      </c>
      <c r="E132" s="175" t="s">
        <v>330</v>
      </c>
      <c r="F132" s="60" t="s">
        <v>357</v>
      </c>
    </row>
    <row r="133" ht="15.0" customHeight="1">
      <c r="A133" s="19" t="s">
        <v>66</v>
      </c>
      <c r="B133" s="19" t="s">
        <v>62</v>
      </c>
      <c r="C133" s="171">
        <v>5000.0</v>
      </c>
      <c r="D133" s="172" t="s">
        <v>115</v>
      </c>
      <c r="E133" s="175" t="s">
        <v>330</v>
      </c>
      <c r="F133" s="60" t="s">
        <v>357</v>
      </c>
    </row>
    <row r="134" ht="15.0" customHeight="1">
      <c r="A134" s="19" t="s">
        <v>67</v>
      </c>
      <c r="B134" s="19" t="s">
        <v>68</v>
      </c>
      <c r="C134" s="56">
        <v>5000.0</v>
      </c>
      <c r="D134" s="172" t="s">
        <v>115</v>
      </c>
      <c r="E134" s="59" t="s">
        <v>358</v>
      </c>
      <c r="F134" s="60" t="s">
        <v>359</v>
      </c>
    </row>
    <row r="135" ht="15.0" customHeight="1">
      <c r="A135" s="19" t="s">
        <v>69</v>
      </c>
      <c r="B135" s="19" t="s">
        <v>70</v>
      </c>
      <c r="C135" s="199">
        <v>5000.0</v>
      </c>
      <c r="D135" s="200" t="s">
        <v>274</v>
      </c>
      <c r="E135" s="175" t="s">
        <v>364</v>
      </c>
      <c r="F135" s="201" t="s">
        <v>365</v>
      </c>
    </row>
    <row r="136" ht="15.0" customHeight="1">
      <c r="A136" s="19" t="s">
        <v>72</v>
      </c>
      <c r="B136" s="19" t="s">
        <v>70</v>
      </c>
      <c r="C136" s="171">
        <v>5000.0</v>
      </c>
      <c r="D136" s="121" t="s">
        <v>274</v>
      </c>
      <c r="E136" s="175" t="s">
        <v>364</v>
      </c>
      <c r="F136" s="202" t="s">
        <v>365</v>
      </c>
    </row>
    <row r="137" ht="15.0" customHeight="1">
      <c r="A137" s="19" t="s">
        <v>73</v>
      </c>
      <c r="B137" s="19" t="s">
        <v>70</v>
      </c>
      <c r="C137" s="171">
        <v>5000.0</v>
      </c>
      <c r="D137" s="121" t="s">
        <v>274</v>
      </c>
      <c r="E137" s="175" t="s">
        <v>364</v>
      </c>
      <c r="F137" s="202" t="s">
        <v>365</v>
      </c>
    </row>
    <row r="138" ht="15.0" customHeight="1">
      <c r="A138" s="19" t="s">
        <v>74</v>
      </c>
      <c r="B138" s="19" t="s">
        <v>37</v>
      </c>
      <c r="C138" s="171">
        <v>5000.0</v>
      </c>
      <c r="D138" s="172" t="s">
        <v>115</v>
      </c>
      <c r="E138" s="175" t="s">
        <v>330</v>
      </c>
      <c r="F138" s="60" t="s">
        <v>368</v>
      </c>
    </row>
    <row r="139" ht="15.0" customHeight="1">
      <c r="A139" s="19" t="s">
        <v>76</v>
      </c>
      <c r="B139" s="19" t="s">
        <v>37</v>
      </c>
      <c r="C139" s="171">
        <v>5000.0</v>
      </c>
      <c r="D139" s="172" t="s">
        <v>115</v>
      </c>
      <c r="E139" s="175" t="s">
        <v>330</v>
      </c>
      <c r="F139" s="60" t="s">
        <v>368</v>
      </c>
    </row>
    <row r="140" ht="15.0" customHeight="1">
      <c r="A140" s="19" t="s">
        <v>80</v>
      </c>
      <c r="B140" s="19" t="s">
        <v>81</v>
      </c>
      <c r="C140" s="171">
        <v>5000.0</v>
      </c>
      <c r="D140" s="172" t="s">
        <v>115</v>
      </c>
      <c r="E140" s="59" t="s">
        <v>369</v>
      </c>
      <c r="F140" s="60" t="s">
        <v>370</v>
      </c>
    </row>
    <row r="141" ht="15.0" customHeight="1">
      <c r="A141" s="19" t="s">
        <v>82</v>
      </c>
      <c r="B141" s="19" t="s">
        <v>37</v>
      </c>
      <c r="C141" s="171">
        <v>5000.0</v>
      </c>
      <c r="D141" s="172" t="s">
        <v>115</v>
      </c>
      <c r="E141" s="59" t="s">
        <v>369</v>
      </c>
      <c r="F141" s="60" t="s">
        <v>371</v>
      </c>
    </row>
    <row r="142" ht="15.0" customHeight="1">
      <c r="A142" s="19" t="s">
        <v>83</v>
      </c>
      <c r="B142" s="19" t="s">
        <v>84</v>
      </c>
      <c r="C142" s="56"/>
      <c r="D142" s="56"/>
      <c r="E142" s="59"/>
      <c r="F142" s="59"/>
    </row>
    <row r="143" ht="15.0" customHeight="1">
      <c r="A143" s="19" t="s">
        <v>89</v>
      </c>
      <c r="B143" s="19" t="s">
        <v>84</v>
      </c>
      <c r="C143" s="56"/>
      <c r="D143" s="56"/>
      <c r="E143" s="59"/>
      <c r="F143" s="59"/>
    </row>
    <row r="144" ht="15.0" customHeight="1">
      <c r="A144" s="19" t="s">
        <v>90</v>
      </c>
      <c r="B144" s="19" t="s">
        <v>84</v>
      </c>
      <c r="C144" s="56"/>
      <c r="D144" s="56"/>
      <c r="E144" s="59"/>
      <c r="F144" s="59"/>
    </row>
    <row r="145" ht="15.0" customHeight="1">
      <c r="A145" s="19" t="s">
        <v>91</v>
      </c>
      <c r="B145" s="19" t="s">
        <v>92</v>
      </c>
      <c r="C145" s="171"/>
      <c r="D145" s="205"/>
      <c r="E145" s="59"/>
      <c r="F145" s="60"/>
    </row>
    <row r="146" ht="15.0" customHeight="1">
      <c r="A146" s="19" t="s">
        <v>94</v>
      </c>
      <c r="B146" s="19" t="s">
        <v>92</v>
      </c>
      <c r="C146" s="171"/>
      <c r="D146" s="205"/>
      <c r="E146" s="59"/>
      <c r="F146" s="60"/>
    </row>
    <row r="147" ht="15.0" customHeight="1">
      <c r="A147" s="19" t="s">
        <v>96</v>
      </c>
      <c r="B147" s="19" t="s">
        <v>92</v>
      </c>
      <c r="C147" s="56"/>
      <c r="D147" s="57"/>
      <c r="E147" s="59"/>
      <c r="F147" s="59"/>
    </row>
    <row r="148" ht="15.0" customHeight="1">
      <c r="A148" s="19" t="s">
        <v>97</v>
      </c>
      <c r="B148" s="19" t="s">
        <v>46</v>
      </c>
      <c r="C148" s="56">
        <v>5000.0</v>
      </c>
      <c r="D148" s="172" t="s">
        <v>115</v>
      </c>
      <c r="E148" s="59" t="s">
        <v>358</v>
      </c>
      <c r="F148" s="60" t="s">
        <v>372</v>
      </c>
    </row>
    <row r="149" ht="15.0" customHeight="1">
      <c r="A149" s="19" t="s">
        <v>98</v>
      </c>
      <c r="B149" s="19" t="s">
        <v>46</v>
      </c>
      <c r="C149" s="56">
        <v>5000.0</v>
      </c>
      <c r="D149" s="172" t="s">
        <v>115</v>
      </c>
      <c r="E149" s="59" t="s">
        <v>358</v>
      </c>
      <c r="F149" s="60" t="s">
        <v>372</v>
      </c>
    </row>
    <row r="150" ht="15.0" customHeight="1">
      <c r="A150" s="19" t="s">
        <v>99</v>
      </c>
      <c r="B150" s="214" t="s">
        <v>77</v>
      </c>
      <c r="C150" s="171">
        <v>5000.0</v>
      </c>
      <c r="D150" s="121" t="s">
        <v>274</v>
      </c>
      <c r="E150" s="175" t="s">
        <v>373</v>
      </c>
      <c r="F150" s="202" t="s">
        <v>374</v>
      </c>
    </row>
    <row r="151" ht="15.0" customHeight="1">
      <c r="A151" s="19" t="s">
        <v>101</v>
      </c>
      <c r="B151" s="215" t="s">
        <v>102</v>
      </c>
      <c r="C151" s="56">
        <v>5000.0</v>
      </c>
      <c r="D151" s="172" t="s">
        <v>115</v>
      </c>
      <c r="E151" s="59" t="s">
        <v>358</v>
      </c>
      <c r="F151" s="60" t="s">
        <v>375</v>
      </c>
    </row>
    <row r="152" ht="15.0" customHeight="1">
      <c r="A152" s="19" t="s">
        <v>103</v>
      </c>
      <c r="B152" s="19" t="s">
        <v>77</v>
      </c>
      <c r="C152" s="56">
        <v>5000.0</v>
      </c>
      <c r="D152" s="121" t="s">
        <v>274</v>
      </c>
      <c r="E152" s="59" t="s">
        <v>275</v>
      </c>
      <c r="F152" s="60" t="s">
        <v>276</v>
      </c>
    </row>
    <row r="153" ht="15.0" customHeight="1">
      <c r="A153" s="19" t="s">
        <v>105</v>
      </c>
      <c r="B153" s="215" t="s">
        <v>106</v>
      </c>
      <c r="C153" s="56">
        <v>5000.0</v>
      </c>
      <c r="D153" s="172" t="s">
        <v>115</v>
      </c>
      <c r="E153" s="59" t="s">
        <v>369</v>
      </c>
      <c r="F153" s="60" t="s">
        <v>376</v>
      </c>
    </row>
    <row r="154" ht="15.0" customHeight="1">
      <c r="A154" s="19" t="s">
        <v>107</v>
      </c>
      <c r="B154" s="215" t="s">
        <v>108</v>
      </c>
      <c r="C154" s="171">
        <v>5000.0</v>
      </c>
      <c r="D154" s="172" t="s">
        <v>115</v>
      </c>
      <c r="E154" s="175" t="s">
        <v>330</v>
      </c>
      <c r="F154" s="60" t="s">
        <v>322</v>
      </c>
    </row>
    <row r="155" ht="15.0" customHeight="1">
      <c r="A155" s="19" t="s">
        <v>109</v>
      </c>
      <c r="B155" s="215" t="s">
        <v>77</v>
      </c>
      <c r="C155" s="56">
        <v>5000.0</v>
      </c>
      <c r="D155" s="172" t="s">
        <v>115</v>
      </c>
      <c r="E155" s="59" t="s">
        <v>351</v>
      </c>
      <c r="F155" s="60" t="s">
        <v>377</v>
      </c>
    </row>
    <row r="156" ht="15.0" customHeight="1">
      <c r="A156" s="19" t="s">
        <v>110</v>
      </c>
      <c r="B156" s="215" t="s">
        <v>77</v>
      </c>
      <c r="C156" s="56">
        <v>5000.0</v>
      </c>
      <c r="D156" s="172" t="s">
        <v>115</v>
      </c>
      <c r="E156" s="59" t="s">
        <v>351</v>
      </c>
      <c r="F156" s="60" t="s">
        <v>377</v>
      </c>
    </row>
    <row r="157" ht="15.0" customHeight="1">
      <c r="A157" s="19" t="s">
        <v>111</v>
      </c>
      <c r="B157" s="215" t="s">
        <v>113</v>
      </c>
      <c r="C157" s="56">
        <v>5000.0</v>
      </c>
      <c r="D157" s="121" t="s">
        <v>274</v>
      </c>
      <c r="E157" s="60" t="s">
        <v>159</v>
      </c>
      <c r="F157" s="60" t="s">
        <v>378</v>
      </c>
    </row>
    <row r="158" ht="15.0" customHeight="1">
      <c r="A158" s="19" t="s">
        <v>119</v>
      </c>
      <c r="B158" s="215" t="s">
        <v>120</v>
      </c>
      <c r="C158" s="56">
        <v>5000.0</v>
      </c>
      <c r="D158" s="172" t="s">
        <v>115</v>
      </c>
      <c r="E158" s="59" t="s">
        <v>351</v>
      </c>
      <c r="F158" s="60" t="s">
        <v>379</v>
      </c>
    </row>
    <row r="159" ht="15.0" customHeight="1">
      <c r="A159" s="19" t="s">
        <v>121</v>
      </c>
      <c r="B159" s="215" t="s">
        <v>120</v>
      </c>
      <c r="C159" s="56">
        <v>5000.0</v>
      </c>
      <c r="D159" s="172" t="s">
        <v>115</v>
      </c>
      <c r="E159" s="59" t="s">
        <v>351</v>
      </c>
      <c r="F159" s="60" t="s">
        <v>379</v>
      </c>
    </row>
    <row r="160" ht="15.0" customHeight="1">
      <c r="A160" s="19" t="s">
        <v>123</v>
      </c>
      <c r="B160" s="215" t="s">
        <v>120</v>
      </c>
      <c r="C160" s="56">
        <v>5000.0</v>
      </c>
      <c r="D160" s="172" t="s">
        <v>115</v>
      </c>
      <c r="E160" s="59" t="s">
        <v>358</v>
      </c>
      <c r="F160" s="60" t="s">
        <v>366</v>
      </c>
    </row>
    <row r="161" ht="15.0" customHeight="1">
      <c r="A161" s="19" t="s">
        <v>124</v>
      </c>
      <c r="B161" s="215" t="s">
        <v>120</v>
      </c>
      <c r="C161" s="56">
        <v>5000.0</v>
      </c>
      <c r="D161" s="172" t="s">
        <v>115</v>
      </c>
      <c r="E161" s="59" t="s">
        <v>358</v>
      </c>
      <c r="F161" s="60" t="s">
        <v>366</v>
      </c>
    </row>
    <row r="162" ht="15.0" customHeight="1">
      <c r="A162" s="19" t="s">
        <v>126</v>
      </c>
      <c r="B162" s="215" t="s">
        <v>58</v>
      </c>
      <c r="C162" s="171">
        <v>5000.0</v>
      </c>
      <c r="D162" s="172" t="s">
        <v>115</v>
      </c>
      <c r="E162" s="175" t="s">
        <v>330</v>
      </c>
      <c r="F162" s="60" t="s">
        <v>356</v>
      </c>
    </row>
    <row r="163" ht="15.0" customHeight="1">
      <c r="A163" s="19" t="s">
        <v>127</v>
      </c>
      <c r="B163" s="215" t="s">
        <v>58</v>
      </c>
      <c r="C163" s="171">
        <v>5000.0</v>
      </c>
      <c r="D163" s="172" t="s">
        <v>115</v>
      </c>
      <c r="E163" s="175" t="s">
        <v>330</v>
      </c>
      <c r="F163" s="60" t="s">
        <v>356</v>
      </c>
    </row>
    <row r="164" ht="15.0" customHeight="1">
      <c r="A164" s="19" t="s">
        <v>128</v>
      </c>
      <c r="B164" s="215" t="s">
        <v>62</v>
      </c>
      <c r="C164" s="171">
        <v>5000.0</v>
      </c>
      <c r="D164" s="172" t="s">
        <v>115</v>
      </c>
      <c r="E164" s="175" t="s">
        <v>330</v>
      </c>
      <c r="F164" s="60" t="s">
        <v>357</v>
      </c>
    </row>
    <row r="165" ht="15.0" customHeight="1">
      <c r="A165" s="19" t="s">
        <v>129</v>
      </c>
      <c r="B165" s="215" t="s">
        <v>92</v>
      </c>
      <c r="C165" s="56"/>
      <c r="D165" s="57"/>
      <c r="E165" s="59"/>
      <c r="F165" s="59"/>
    </row>
    <row r="166" ht="15.0" customHeight="1">
      <c r="A166" s="19" t="s">
        <v>130</v>
      </c>
      <c r="B166" s="215" t="s">
        <v>23</v>
      </c>
      <c r="C166" s="56">
        <v>5000.0</v>
      </c>
      <c r="D166" s="172" t="s">
        <v>115</v>
      </c>
      <c r="E166" s="59" t="s">
        <v>351</v>
      </c>
      <c r="F166" s="60" t="s">
        <v>352</v>
      </c>
    </row>
    <row r="167" ht="15.0" customHeight="1">
      <c r="A167" s="19" t="s">
        <v>132</v>
      </c>
      <c r="B167" s="215" t="s">
        <v>23</v>
      </c>
      <c r="C167" s="56">
        <v>5000.0</v>
      </c>
      <c r="D167" s="172" t="s">
        <v>115</v>
      </c>
      <c r="E167" s="59" t="s">
        <v>351</v>
      </c>
      <c r="F167" s="60" t="s">
        <v>352</v>
      </c>
    </row>
    <row r="168" ht="15.0" customHeight="1">
      <c r="A168" s="19" t="s">
        <v>133</v>
      </c>
      <c r="B168" s="215" t="s">
        <v>77</v>
      </c>
      <c r="C168" s="171">
        <v>5000.0</v>
      </c>
      <c r="D168" s="121" t="s">
        <v>274</v>
      </c>
      <c r="E168" s="218" t="s">
        <v>373</v>
      </c>
      <c r="F168" s="219" t="s">
        <v>374</v>
      </c>
    </row>
    <row r="169" ht="15.0" customHeight="1">
      <c r="A169" s="19" t="s">
        <v>134</v>
      </c>
      <c r="B169" s="19" t="s">
        <v>70</v>
      </c>
      <c r="C169" s="171">
        <v>5000.0</v>
      </c>
      <c r="D169" s="121" t="s">
        <v>274</v>
      </c>
      <c r="E169" s="175" t="s">
        <v>364</v>
      </c>
      <c r="F169" s="202" t="s">
        <v>365</v>
      </c>
    </row>
    <row r="170" ht="15.0" customHeight="1">
      <c r="A170" s="19" t="s">
        <v>136</v>
      </c>
      <c r="B170" s="19" t="s">
        <v>70</v>
      </c>
      <c r="C170" s="171">
        <v>5000.0</v>
      </c>
      <c r="D170" s="121" t="s">
        <v>274</v>
      </c>
      <c r="E170" s="218" t="s">
        <v>373</v>
      </c>
      <c r="F170" s="219" t="s">
        <v>380</v>
      </c>
    </row>
    <row r="171" ht="16.5" customHeight="1">
      <c r="A171" s="19" t="s">
        <v>137</v>
      </c>
      <c r="B171" s="19" t="s">
        <v>70</v>
      </c>
      <c r="C171" s="171">
        <v>5000.0</v>
      </c>
      <c r="D171" s="121" t="s">
        <v>274</v>
      </c>
      <c r="E171" s="218" t="s">
        <v>373</v>
      </c>
      <c r="F171" s="219" t="s">
        <v>380</v>
      </c>
    </row>
    <row r="172" ht="22.5" customHeight="1">
      <c r="A172" s="19" t="s">
        <v>138</v>
      </c>
      <c r="B172" s="19" t="s">
        <v>70</v>
      </c>
      <c r="C172" s="56">
        <v>5000.0</v>
      </c>
      <c r="D172" s="205" t="s">
        <v>381</v>
      </c>
      <c r="E172" s="218" t="s">
        <v>373</v>
      </c>
      <c r="F172" s="219" t="s">
        <v>382</v>
      </c>
    </row>
    <row r="173" ht="22.5" customHeight="1">
      <c r="A173" s="19" t="s">
        <v>139</v>
      </c>
      <c r="B173" s="19" t="s">
        <v>70</v>
      </c>
      <c r="C173" s="56">
        <v>5000.0</v>
      </c>
      <c r="D173" s="205" t="s">
        <v>381</v>
      </c>
      <c r="E173" s="218" t="s">
        <v>373</v>
      </c>
      <c r="F173" s="219" t="s">
        <v>382</v>
      </c>
    </row>
    <row r="174" ht="22.5" customHeight="1">
      <c r="A174" s="19" t="s">
        <v>140</v>
      </c>
      <c r="B174" s="19" t="s">
        <v>70</v>
      </c>
      <c r="C174" s="56">
        <v>5000.0</v>
      </c>
      <c r="D174" s="205" t="s">
        <v>381</v>
      </c>
      <c r="E174" s="218" t="s">
        <v>373</v>
      </c>
      <c r="F174" s="219" t="s">
        <v>382</v>
      </c>
    </row>
    <row r="175" ht="22.5" customHeight="1">
      <c r="A175" s="19" t="s">
        <v>143</v>
      </c>
      <c r="B175" s="19" t="s">
        <v>144</v>
      </c>
      <c r="C175" s="56">
        <v>5000.0</v>
      </c>
      <c r="D175" s="205" t="s">
        <v>381</v>
      </c>
      <c r="E175" s="59" t="s">
        <v>327</v>
      </c>
      <c r="F175" s="60" t="s">
        <v>329</v>
      </c>
    </row>
    <row r="176">
      <c r="C176" s="21"/>
      <c r="D176" s="22"/>
      <c r="E176" s="22"/>
      <c r="F176" s="25"/>
    </row>
    <row r="177">
      <c r="C177" s="21"/>
      <c r="D177" s="22"/>
      <c r="E177" s="22"/>
      <c r="F177" s="25"/>
    </row>
    <row r="178">
      <c r="C178" s="21"/>
      <c r="D178" s="22"/>
      <c r="E178" s="22"/>
      <c r="F178" s="25"/>
    </row>
    <row r="179">
      <c r="C179" s="21">
        <v>46143.0</v>
      </c>
      <c r="D179" s="22"/>
      <c r="E179" s="166">
        <f>SUM(May_2026[Payment])</f>
        <v>245000</v>
      </c>
      <c r="F179" s="25"/>
    </row>
    <row r="180" ht="22.5" customHeight="1">
      <c r="A180" s="29" t="s">
        <v>29</v>
      </c>
      <c r="B180" s="29" t="s">
        <v>13</v>
      </c>
      <c r="C180" s="29" t="s">
        <v>34</v>
      </c>
      <c r="D180" s="33" t="s">
        <v>35</v>
      </c>
      <c r="E180" s="29" t="s">
        <v>38</v>
      </c>
      <c r="F180" s="29" t="s">
        <v>40</v>
      </c>
    </row>
    <row r="181" ht="22.5" customHeight="1">
      <c r="A181" s="19" t="s">
        <v>42</v>
      </c>
      <c r="B181" s="19" t="s">
        <v>44</v>
      </c>
      <c r="C181" s="56">
        <v>5000.0</v>
      </c>
      <c r="D181" s="57" t="s">
        <v>115</v>
      </c>
      <c r="E181" s="59" t="s">
        <v>383</v>
      </c>
      <c r="F181" s="59" t="s">
        <v>384</v>
      </c>
    </row>
    <row r="182" ht="22.5" customHeight="1">
      <c r="A182" s="19" t="s">
        <v>47</v>
      </c>
      <c r="B182" s="19" t="s">
        <v>44</v>
      </c>
      <c r="C182" s="56">
        <v>5000.0</v>
      </c>
      <c r="D182" s="57" t="s">
        <v>115</v>
      </c>
      <c r="E182" s="59" t="s">
        <v>383</v>
      </c>
      <c r="F182" s="59" t="s">
        <v>384</v>
      </c>
    </row>
    <row r="183" ht="22.5" customHeight="1">
      <c r="A183" s="19" t="s">
        <v>51</v>
      </c>
      <c r="B183" s="19" t="s">
        <v>44</v>
      </c>
      <c r="C183" s="56">
        <v>5000.0</v>
      </c>
      <c r="D183" s="56" t="s">
        <v>115</v>
      </c>
      <c r="E183" s="59" t="s">
        <v>383</v>
      </c>
      <c r="F183" s="59" t="s">
        <v>384</v>
      </c>
    </row>
    <row r="184" ht="22.5" customHeight="1">
      <c r="A184" s="19" t="s">
        <v>55</v>
      </c>
      <c r="B184" s="19" t="s">
        <v>23</v>
      </c>
      <c r="C184" s="56">
        <v>5000.0</v>
      </c>
      <c r="D184" s="56" t="s">
        <v>115</v>
      </c>
      <c r="E184" s="59" t="s">
        <v>184</v>
      </c>
      <c r="F184" s="59" t="s">
        <v>385</v>
      </c>
    </row>
    <row r="185" ht="22.5" customHeight="1">
      <c r="A185" s="19" t="s">
        <v>56</v>
      </c>
      <c r="B185" s="19" t="s">
        <v>23</v>
      </c>
      <c r="C185" s="56">
        <v>5000.0</v>
      </c>
      <c r="D185" s="56" t="s">
        <v>115</v>
      </c>
      <c r="E185" s="59" t="s">
        <v>184</v>
      </c>
      <c r="F185" s="59" t="s">
        <v>385</v>
      </c>
    </row>
    <row r="186" ht="22.5" customHeight="1">
      <c r="A186" s="19" t="s">
        <v>57</v>
      </c>
      <c r="B186" s="19" t="s">
        <v>58</v>
      </c>
      <c r="C186" s="56">
        <v>5000.0</v>
      </c>
      <c r="D186" s="56" t="s">
        <v>115</v>
      </c>
      <c r="E186" s="59" t="s">
        <v>386</v>
      </c>
      <c r="F186" s="70" t="s">
        <v>387</v>
      </c>
    </row>
    <row r="187" ht="22.5" customHeight="1">
      <c r="A187" s="19" t="s">
        <v>60</v>
      </c>
      <c r="B187" s="19" t="s">
        <v>58</v>
      </c>
      <c r="C187" s="56">
        <v>5000.0</v>
      </c>
      <c r="D187" s="56" t="s">
        <v>115</v>
      </c>
      <c r="E187" s="59" t="s">
        <v>386</v>
      </c>
      <c r="F187" s="59" t="s">
        <v>388</v>
      </c>
    </row>
    <row r="188" ht="22.5" customHeight="1">
      <c r="A188" s="19" t="s">
        <v>61</v>
      </c>
      <c r="B188" s="19" t="s">
        <v>62</v>
      </c>
      <c r="C188" s="56">
        <v>5000.0</v>
      </c>
      <c r="D188" s="56" t="s">
        <v>115</v>
      </c>
      <c r="E188" s="59" t="s">
        <v>389</v>
      </c>
      <c r="F188" s="59" t="s">
        <v>390</v>
      </c>
    </row>
    <row r="189" ht="22.5" customHeight="1">
      <c r="A189" s="19" t="s">
        <v>63</v>
      </c>
      <c r="B189" s="19" t="s">
        <v>62</v>
      </c>
      <c r="C189" s="56">
        <v>5000.0</v>
      </c>
      <c r="D189" s="56" t="s">
        <v>115</v>
      </c>
      <c r="E189" s="59" t="s">
        <v>389</v>
      </c>
      <c r="F189" s="59" t="s">
        <v>391</v>
      </c>
    </row>
    <row r="190" ht="22.5" customHeight="1">
      <c r="A190" s="19" t="s">
        <v>65</v>
      </c>
      <c r="B190" s="19" t="s">
        <v>62</v>
      </c>
      <c r="C190" s="56">
        <v>5000.0</v>
      </c>
      <c r="D190" s="56" t="s">
        <v>115</v>
      </c>
      <c r="E190" s="59" t="s">
        <v>389</v>
      </c>
      <c r="F190" s="59" t="s">
        <v>391</v>
      </c>
    </row>
    <row r="191" ht="22.5" customHeight="1">
      <c r="A191" s="19" t="s">
        <v>66</v>
      </c>
      <c r="B191" s="19" t="s">
        <v>62</v>
      </c>
      <c r="C191" s="220">
        <v>5000.0</v>
      </c>
      <c r="D191" s="220" t="s">
        <v>115</v>
      </c>
      <c r="E191" s="221" t="s">
        <v>389</v>
      </c>
      <c r="F191" s="221" t="s">
        <v>391</v>
      </c>
    </row>
    <row r="192" ht="22.5" customHeight="1">
      <c r="A192" s="19" t="s">
        <v>67</v>
      </c>
      <c r="B192" s="19" t="s">
        <v>68</v>
      </c>
      <c r="C192" s="56">
        <v>5000.0</v>
      </c>
      <c r="D192" s="56" t="s">
        <v>115</v>
      </c>
      <c r="E192" s="59" t="s">
        <v>383</v>
      </c>
      <c r="F192" s="59" t="s">
        <v>392</v>
      </c>
    </row>
    <row r="193" ht="22.5" customHeight="1">
      <c r="A193" s="19" t="s">
        <v>69</v>
      </c>
      <c r="B193" s="19" t="s">
        <v>70</v>
      </c>
      <c r="C193" s="56">
        <v>5000.0</v>
      </c>
      <c r="D193" s="56" t="s">
        <v>115</v>
      </c>
      <c r="E193" s="59" t="s">
        <v>393</v>
      </c>
      <c r="F193" s="59" t="s">
        <v>394</v>
      </c>
    </row>
    <row r="194" ht="22.5" customHeight="1">
      <c r="A194" s="19" t="s">
        <v>72</v>
      </c>
      <c r="B194" s="19" t="s">
        <v>70</v>
      </c>
      <c r="C194" s="56">
        <v>5000.0</v>
      </c>
      <c r="D194" s="56" t="s">
        <v>115</v>
      </c>
      <c r="E194" s="59" t="s">
        <v>393</v>
      </c>
      <c r="F194" s="59" t="s">
        <v>394</v>
      </c>
    </row>
    <row r="195" ht="22.5" customHeight="1">
      <c r="A195" s="19" t="s">
        <v>73</v>
      </c>
      <c r="B195" s="19" t="s">
        <v>70</v>
      </c>
      <c r="C195" s="56">
        <v>5000.0</v>
      </c>
      <c r="D195" s="56" t="s">
        <v>115</v>
      </c>
      <c r="E195" s="59" t="s">
        <v>393</v>
      </c>
      <c r="F195" s="59" t="s">
        <v>394</v>
      </c>
    </row>
    <row r="196" ht="22.5" customHeight="1">
      <c r="A196" s="19" t="s">
        <v>74</v>
      </c>
      <c r="B196" s="19" t="s">
        <v>37</v>
      </c>
      <c r="C196" s="56">
        <v>5000.0</v>
      </c>
      <c r="D196" s="56" t="s">
        <v>115</v>
      </c>
      <c r="E196" s="59" t="s">
        <v>184</v>
      </c>
      <c r="F196" s="59" t="s">
        <v>385</v>
      </c>
    </row>
    <row r="197" ht="22.5" customHeight="1">
      <c r="A197" s="19" t="s">
        <v>76</v>
      </c>
      <c r="B197" s="19" t="s">
        <v>37</v>
      </c>
      <c r="C197" s="56">
        <v>5000.0</v>
      </c>
      <c r="D197" s="56" t="s">
        <v>115</v>
      </c>
      <c r="E197" s="59" t="s">
        <v>184</v>
      </c>
      <c r="F197" s="59" t="s">
        <v>385</v>
      </c>
    </row>
    <row r="198" ht="22.5" customHeight="1">
      <c r="A198" s="19" t="s">
        <v>80</v>
      </c>
      <c r="B198" s="19" t="s">
        <v>81</v>
      </c>
      <c r="C198" s="56">
        <v>5000.0</v>
      </c>
      <c r="D198" s="56" t="s">
        <v>115</v>
      </c>
      <c r="E198" s="59" t="s">
        <v>395</v>
      </c>
      <c r="F198" s="222" t="s">
        <v>396</v>
      </c>
    </row>
    <row r="199" ht="22.5" customHeight="1">
      <c r="A199" s="19" t="s">
        <v>82</v>
      </c>
      <c r="B199" s="19" t="s">
        <v>37</v>
      </c>
      <c r="C199" s="56">
        <v>5000.0</v>
      </c>
      <c r="D199" s="56" t="s">
        <v>115</v>
      </c>
      <c r="E199" s="59" t="s">
        <v>395</v>
      </c>
      <c r="F199" s="222" t="s">
        <v>396</v>
      </c>
    </row>
    <row r="200" ht="22.5" customHeight="1">
      <c r="A200" s="19" t="s">
        <v>83</v>
      </c>
      <c r="B200" s="19" t="s">
        <v>84</v>
      </c>
      <c r="C200" s="56">
        <v>5000.0</v>
      </c>
      <c r="D200" s="56" t="s">
        <v>115</v>
      </c>
      <c r="E200" s="59" t="s">
        <v>397</v>
      </c>
      <c r="F200" s="59" t="s">
        <v>398</v>
      </c>
    </row>
    <row r="201" ht="22.5" customHeight="1">
      <c r="A201" s="19" t="s">
        <v>89</v>
      </c>
      <c r="B201" s="19" t="s">
        <v>84</v>
      </c>
      <c r="C201" s="56">
        <v>5000.0</v>
      </c>
      <c r="D201" s="56" t="s">
        <v>115</v>
      </c>
      <c r="E201" s="59" t="s">
        <v>397</v>
      </c>
      <c r="F201" s="59" t="s">
        <v>315</v>
      </c>
    </row>
    <row r="202" ht="22.5" customHeight="1">
      <c r="A202" s="19" t="s">
        <v>90</v>
      </c>
      <c r="B202" s="19" t="s">
        <v>84</v>
      </c>
      <c r="C202" s="56">
        <v>5000.0</v>
      </c>
      <c r="D202" s="56" t="s">
        <v>115</v>
      </c>
      <c r="E202" s="59" t="s">
        <v>397</v>
      </c>
      <c r="F202" s="59" t="s">
        <v>315</v>
      </c>
    </row>
    <row r="203" ht="22.5" customHeight="1">
      <c r="A203" s="19" t="s">
        <v>91</v>
      </c>
      <c r="B203" s="19" t="s">
        <v>92</v>
      </c>
      <c r="C203" s="56"/>
      <c r="D203" s="57"/>
      <c r="E203" s="59"/>
      <c r="F203" s="59"/>
    </row>
    <row r="204" ht="22.5" customHeight="1">
      <c r="A204" s="19" t="s">
        <v>94</v>
      </c>
      <c r="B204" s="19" t="s">
        <v>92</v>
      </c>
      <c r="C204" s="56"/>
      <c r="D204" s="57"/>
      <c r="E204" s="59"/>
      <c r="F204" s="59"/>
    </row>
    <row r="205" ht="22.5" customHeight="1">
      <c r="A205" s="19" t="s">
        <v>96</v>
      </c>
      <c r="B205" s="19" t="s">
        <v>92</v>
      </c>
      <c r="C205" s="56"/>
      <c r="D205" s="57"/>
      <c r="E205" s="59"/>
      <c r="F205" s="59"/>
    </row>
    <row r="206" ht="22.5" customHeight="1">
      <c r="A206" s="19" t="s">
        <v>97</v>
      </c>
      <c r="B206" s="19" t="s">
        <v>46</v>
      </c>
      <c r="C206" s="56">
        <v>5000.0</v>
      </c>
      <c r="D206" s="56" t="s">
        <v>115</v>
      </c>
      <c r="E206" s="59" t="s">
        <v>383</v>
      </c>
      <c r="F206" s="59" t="s">
        <v>399</v>
      </c>
    </row>
    <row r="207" ht="22.5" customHeight="1">
      <c r="A207" s="19" t="s">
        <v>98</v>
      </c>
      <c r="B207" s="19" t="s">
        <v>46</v>
      </c>
      <c r="C207" s="56">
        <v>5000.0</v>
      </c>
      <c r="D207" s="56" t="s">
        <v>115</v>
      </c>
      <c r="E207" s="59" t="s">
        <v>383</v>
      </c>
      <c r="F207" s="59" t="s">
        <v>399</v>
      </c>
    </row>
    <row r="208" ht="22.5" customHeight="1">
      <c r="A208" s="19" t="s">
        <v>99</v>
      </c>
      <c r="B208" s="215" t="s">
        <v>77</v>
      </c>
      <c r="C208" s="56">
        <v>5000.0</v>
      </c>
      <c r="D208" s="56" t="s">
        <v>115</v>
      </c>
      <c r="E208" s="59" t="s">
        <v>397</v>
      </c>
      <c r="F208" s="59" t="s">
        <v>400</v>
      </c>
    </row>
    <row r="209" ht="22.5" customHeight="1">
      <c r="A209" s="19" t="s">
        <v>101</v>
      </c>
      <c r="B209" s="215" t="s">
        <v>102</v>
      </c>
      <c r="C209" s="56">
        <v>5000.0</v>
      </c>
      <c r="D209" s="56" t="s">
        <v>115</v>
      </c>
      <c r="E209" s="59" t="s">
        <v>184</v>
      </c>
      <c r="F209" s="59" t="s">
        <v>401</v>
      </c>
    </row>
    <row r="210" ht="22.5" customHeight="1">
      <c r="A210" s="19" t="s">
        <v>103</v>
      </c>
      <c r="B210" s="215" t="s">
        <v>77</v>
      </c>
      <c r="C210" s="56">
        <v>5000.0</v>
      </c>
      <c r="D210" s="205" t="s">
        <v>274</v>
      </c>
      <c r="E210" s="59" t="s">
        <v>402</v>
      </c>
      <c r="F210" s="59" t="s">
        <v>403</v>
      </c>
    </row>
    <row r="211" ht="22.5" customHeight="1">
      <c r="A211" s="19" t="s">
        <v>105</v>
      </c>
      <c r="B211" s="215" t="s">
        <v>106</v>
      </c>
      <c r="C211" s="56">
        <v>5000.0</v>
      </c>
      <c r="D211" s="56" t="s">
        <v>115</v>
      </c>
      <c r="E211" s="59" t="s">
        <v>389</v>
      </c>
      <c r="F211" s="59" t="s">
        <v>404</v>
      </c>
    </row>
    <row r="212" ht="22.5" customHeight="1">
      <c r="A212" s="19" t="s">
        <v>107</v>
      </c>
      <c r="B212" s="215" t="s">
        <v>108</v>
      </c>
      <c r="C212" s="56">
        <v>5000.0</v>
      </c>
      <c r="D212" s="56" t="s">
        <v>115</v>
      </c>
      <c r="E212" s="59" t="s">
        <v>383</v>
      </c>
      <c r="F212" s="59" t="s">
        <v>320</v>
      </c>
    </row>
    <row r="213" ht="22.5" customHeight="1">
      <c r="A213" s="19" t="s">
        <v>109</v>
      </c>
      <c r="B213" s="215" t="s">
        <v>77</v>
      </c>
      <c r="C213" s="56">
        <v>5000.0</v>
      </c>
      <c r="D213" s="56" t="s">
        <v>115</v>
      </c>
      <c r="E213" s="59" t="s">
        <v>397</v>
      </c>
      <c r="F213" s="59" t="s">
        <v>400</v>
      </c>
    </row>
    <row r="214" ht="22.5" customHeight="1">
      <c r="A214" s="19" t="s">
        <v>110</v>
      </c>
      <c r="B214" s="215" t="s">
        <v>77</v>
      </c>
      <c r="C214" s="56">
        <v>5000.0</v>
      </c>
      <c r="D214" s="56" t="s">
        <v>115</v>
      </c>
      <c r="E214" s="59" t="s">
        <v>397</v>
      </c>
      <c r="F214" s="59" t="s">
        <v>400</v>
      </c>
    </row>
    <row r="215" ht="22.5" customHeight="1">
      <c r="A215" s="19" t="s">
        <v>111</v>
      </c>
      <c r="B215" s="215" t="s">
        <v>113</v>
      </c>
      <c r="C215" s="56">
        <v>5000.0</v>
      </c>
      <c r="D215" s="121" t="s">
        <v>274</v>
      </c>
      <c r="E215" s="60" t="s">
        <v>159</v>
      </c>
      <c r="F215" s="60" t="s">
        <v>378</v>
      </c>
    </row>
    <row r="216" ht="22.5" customHeight="1">
      <c r="A216" s="19" t="s">
        <v>119</v>
      </c>
      <c r="B216" s="215" t="s">
        <v>120</v>
      </c>
      <c r="C216" s="99">
        <v>5000.0</v>
      </c>
      <c r="D216" s="205" t="s">
        <v>274</v>
      </c>
      <c r="E216" s="59" t="s">
        <v>405</v>
      </c>
      <c r="F216" s="60" t="s">
        <v>406</v>
      </c>
    </row>
    <row r="217" ht="22.5" customHeight="1">
      <c r="A217" s="19" t="s">
        <v>121</v>
      </c>
      <c r="B217" s="215" t="s">
        <v>120</v>
      </c>
      <c r="C217" s="56">
        <v>5000.0</v>
      </c>
      <c r="D217" s="56" t="s">
        <v>115</v>
      </c>
      <c r="E217" s="59" t="s">
        <v>389</v>
      </c>
      <c r="F217" s="70" t="s">
        <v>407</v>
      </c>
    </row>
    <row r="218" ht="22.5" customHeight="1">
      <c r="A218" s="19" t="s">
        <v>123</v>
      </c>
      <c r="B218" s="215" t="s">
        <v>120</v>
      </c>
      <c r="C218" s="56">
        <v>5000.0</v>
      </c>
      <c r="D218" s="56" t="s">
        <v>115</v>
      </c>
      <c r="E218" s="59" t="s">
        <v>389</v>
      </c>
      <c r="F218" s="70" t="s">
        <v>407</v>
      </c>
    </row>
    <row r="219" ht="22.5" customHeight="1">
      <c r="A219" s="19" t="s">
        <v>124</v>
      </c>
      <c r="B219" s="215" t="s">
        <v>120</v>
      </c>
      <c r="C219" s="27">
        <v>5000.0</v>
      </c>
      <c r="D219" s="205" t="s">
        <v>274</v>
      </c>
      <c r="E219" s="59" t="s">
        <v>405</v>
      </c>
      <c r="F219" s="223" t="s">
        <v>406</v>
      </c>
    </row>
    <row r="220" ht="22.5" customHeight="1">
      <c r="A220" s="19" t="s">
        <v>126</v>
      </c>
      <c r="B220" s="215" t="s">
        <v>58</v>
      </c>
      <c r="C220" s="56">
        <v>5000.0</v>
      </c>
      <c r="D220" s="56" t="s">
        <v>115</v>
      </c>
      <c r="E220" s="59" t="s">
        <v>386</v>
      </c>
      <c r="F220" s="59" t="s">
        <v>388</v>
      </c>
    </row>
    <row r="221" ht="22.5" customHeight="1">
      <c r="A221" s="19" t="s">
        <v>127</v>
      </c>
      <c r="B221" s="215" t="s">
        <v>58</v>
      </c>
      <c r="C221" s="56">
        <v>5000.0</v>
      </c>
      <c r="D221" s="56" t="s">
        <v>115</v>
      </c>
      <c r="E221" s="59" t="s">
        <v>386</v>
      </c>
      <c r="F221" s="59" t="s">
        <v>388</v>
      </c>
    </row>
    <row r="222" ht="22.5" customHeight="1">
      <c r="A222" s="19" t="s">
        <v>128</v>
      </c>
      <c r="B222" s="215" t="s">
        <v>62</v>
      </c>
      <c r="C222" s="56">
        <v>5000.0</v>
      </c>
      <c r="D222" s="56" t="s">
        <v>115</v>
      </c>
      <c r="E222" s="59" t="s">
        <v>389</v>
      </c>
      <c r="F222" s="59" t="s">
        <v>391</v>
      </c>
    </row>
    <row r="223" ht="22.5" customHeight="1">
      <c r="A223" s="19" t="s">
        <v>129</v>
      </c>
      <c r="B223" s="215" t="s">
        <v>92</v>
      </c>
      <c r="C223" s="56"/>
      <c r="D223" s="57"/>
      <c r="E223" s="59"/>
      <c r="F223" s="59"/>
    </row>
    <row r="224" ht="22.5" customHeight="1">
      <c r="A224" s="19" t="s">
        <v>130</v>
      </c>
      <c r="B224" s="215" t="s">
        <v>23</v>
      </c>
      <c r="C224" s="56">
        <v>5000.0</v>
      </c>
      <c r="D224" s="56" t="s">
        <v>115</v>
      </c>
      <c r="E224" s="59" t="s">
        <v>184</v>
      </c>
      <c r="F224" s="59" t="s">
        <v>385</v>
      </c>
    </row>
    <row r="225" ht="22.5" customHeight="1">
      <c r="A225" s="19" t="s">
        <v>132</v>
      </c>
      <c r="B225" s="215" t="s">
        <v>23</v>
      </c>
      <c r="C225" s="56">
        <v>5000.0</v>
      </c>
      <c r="D225" s="56" t="s">
        <v>115</v>
      </c>
      <c r="E225" s="59" t="s">
        <v>184</v>
      </c>
      <c r="F225" s="59" t="s">
        <v>385</v>
      </c>
    </row>
    <row r="226" ht="22.5" customHeight="1">
      <c r="A226" s="19" t="s">
        <v>133</v>
      </c>
      <c r="B226" s="215" t="s">
        <v>77</v>
      </c>
      <c r="C226" s="56">
        <v>5000.0</v>
      </c>
      <c r="D226" s="56" t="s">
        <v>115</v>
      </c>
      <c r="E226" s="59" t="s">
        <v>397</v>
      </c>
      <c r="F226" s="59" t="s">
        <v>400</v>
      </c>
    </row>
    <row r="227" ht="22.5" customHeight="1">
      <c r="A227" s="19" t="s">
        <v>134</v>
      </c>
      <c r="B227" s="19" t="s">
        <v>70</v>
      </c>
      <c r="C227" s="56">
        <v>5000.0</v>
      </c>
      <c r="D227" s="56" t="s">
        <v>115</v>
      </c>
      <c r="E227" s="59" t="s">
        <v>408</v>
      </c>
      <c r="F227" s="59" t="s">
        <v>409</v>
      </c>
    </row>
    <row r="228" ht="22.5" customHeight="1">
      <c r="A228" s="19" t="s">
        <v>136</v>
      </c>
      <c r="B228" s="19" t="s">
        <v>70</v>
      </c>
      <c r="C228" s="56">
        <v>5000.0</v>
      </c>
      <c r="D228" s="56" t="s">
        <v>115</v>
      </c>
      <c r="E228" s="59" t="s">
        <v>408</v>
      </c>
      <c r="F228" s="59" t="s">
        <v>409</v>
      </c>
    </row>
    <row r="229" ht="22.5" customHeight="1">
      <c r="A229" s="19" t="s">
        <v>137</v>
      </c>
      <c r="B229" s="19" t="s">
        <v>70</v>
      </c>
      <c r="C229" s="56">
        <v>5000.0</v>
      </c>
      <c r="D229" s="56" t="s">
        <v>115</v>
      </c>
      <c r="E229" s="59" t="s">
        <v>408</v>
      </c>
      <c r="F229" s="59" t="s">
        <v>410</v>
      </c>
    </row>
    <row r="230" ht="22.5" customHeight="1">
      <c r="A230" s="19" t="s">
        <v>138</v>
      </c>
      <c r="B230" s="19" t="s">
        <v>70</v>
      </c>
      <c r="C230" s="56">
        <v>5000.0</v>
      </c>
      <c r="D230" s="205" t="s">
        <v>381</v>
      </c>
      <c r="E230" s="218" t="s">
        <v>373</v>
      </c>
      <c r="F230" s="219" t="s">
        <v>382</v>
      </c>
    </row>
    <row r="231" ht="22.5" customHeight="1">
      <c r="A231" s="19" t="s">
        <v>139</v>
      </c>
      <c r="B231" s="19" t="s">
        <v>70</v>
      </c>
      <c r="C231" s="56">
        <v>5000.0</v>
      </c>
      <c r="D231" s="205" t="s">
        <v>381</v>
      </c>
      <c r="E231" s="218" t="s">
        <v>373</v>
      </c>
      <c r="F231" s="219" t="s">
        <v>382</v>
      </c>
    </row>
    <row r="232" ht="22.5" customHeight="1">
      <c r="A232" s="19" t="s">
        <v>140</v>
      </c>
      <c r="B232" s="19" t="s">
        <v>70</v>
      </c>
      <c r="C232" s="56">
        <v>5000.0</v>
      </c>
      <c r="D232" s="205" t="s">
        <v>381</v>
      </c>
      <c r="E232" s="218" t="s">
        <v>373</v>
      </c>
      <c r="F232" s="219" t="s">
        <v>382</v>
      </c>
    </row>
    <row r="233" ht="22.5" customHeight="1">
      <c r="A233" s="19" t="s">
        <v>143</v>
      </c>
      <c r="B233" s="19" t="s">
        <v>144</v>
      </c>
      <c r="C233" s="56">
        <v>5000.0</v>
      </c>
      <c r="D233" s="205" t="s">
        <v>381</v>
      </c>
      <c r="E233" s="59" t="s">
        <v>327</v>
      </c>
      <c r="F233" s="60" t="s">
        <v>329</v>
      </c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C240" s="21">
        <v>46113.0</v>
      </c>
      <c r="D240" s="22"/>
      <c r="E240" s="166">
        <f>SUM(April_2026[Payment])</f>
        <v>260000</v>
      </c>
      <c r="F240" s="25"/>
    </row>
    <row r="241" ht="22.5" customHeight="1">
      <c r="A241" s="29" t="s">
        <v>29</v>
      </c>
      <c r="B241" s="29" t="s">
        <v>13</v>
      </c>
      <c r="C241" s="29" t="s">
        <v>34</v>
      </c>
      <c r="D241" s="33" t="s">
        <v>35</v>
      </c>
      <c r="E241" s="29" t="s">
        <v>38</v>
      </c>
      <c r="F241" s="29" t="s">
        <v>40</v>
      </c>
    </row>
    <row r="242" ht="22.5" customHeight="1">
      <c r="A242" s="19" t="s">
        <v>42</v>
      </c>
      <c r="B242" s="19" t="s">
        <v>44</v>
      </c>
      <c r="C242" s="56">
        <v>5000.0</v>
      </c>
      <c r="D242" s="57" t="s">
        <v>115</v>
      </c>
      <c r="E242" s="59" t="s">
        <v>411</v>
      </c>
      <c r="F242" s="59" t="s">
        <v>412</v>
      </c>
    </row>
    <row r="243" ht="22.5" customHeight="1">
      <c r="A243" s="19" t="s">
        <v>47</v>
      </c>
      <c r="B243" s="19" t="s">
        <v>44</v>
      </c>
      <c r="C243" s="56">
        <v>5000.0</v>
      </c>
      <c r="D243" s="57" t="s">
        <v>115</v>
      </c>
      <c r="E243" s="59" t="s">
        <v>411</v>
      </c>
      <c r="F243" s="59" t="s">
        <v>412</v>
      </c>
    </row>
    <row r="244" ht="22.5" customHeight="1">
      <c r="A244" s="19" t="s">
        <v>51</v>
      </c>
      <c r="B244" s="19" t="s">
        <v>44</v>
      </c>
      <c r="C244" s="56">
        <v>5000.0</v>
      </c>
      <c r="D244" s="57" t="s">
        <v>115</v>
      </c>
      <c r="E244" s="59" t="s">
        <v>411</v>
      </c>
      <c r="F244" s="59" t="s">
        <v>412</v>
      </c>
    </row>
    <row r="245" ht="22.5" customHeight="1">
      <c r="A245" s="19" t="s">
        <v>55</v>
      </c>
      <c r="B245" s="19" t="s">
        <v>23</v>
      </c>
      <c r="C245" s="56">
        <v>5000.0</v>
      </c>
      <c r="D245" s="57" t="s">
        <v>115</v>
      </c>
      <c r="E245" s="223" t="s">
        <v>413</v>
      </c>
      <c r="F245" s="223" t="s">
        <v>414</v>
      </c>
    </row>
    <row r="246" ht="22.5" customHeight="1">
      <c r="A246" s="19" t="s">
        <v>56</v>
      </c>
      <c r="B246" s="19" t="s">
        <v>23</v>
      </c>
      <c r="C246" s="56">
        <v>5000.0</v>
      </c>
      <c r="D246" s="57" t="s">
        <v>115</v>
      </c>
      <c r="E246" s="223" t="s">
        <v>413</v>
      </c>
      <c r="F246" s="223" t="s">
        <v>414</v>
      </c>
    </row>
    <row r="247" ht="22.5" customHeight="1">
      <c r="A247" s="19" t="s">
        <v>57</v>
      </c>
      <c r="B247" s="19" t="s">
        <v>58</v>
      </c>
      <c r="C247" s="56">
        <v>5000.0</v>
      </c>
      <c r="D247" s="57" t="s">
        <v>115</v>
      </c>
      <c r="E247" s="59" t="s">
        <v>415</v>
      </c>
      <c r="F247" s="70" t="s">
        <v>323</v>
      </c>
    </row>
    <row r="248" ht="22.5" customHeight="1">
      <c r="A248" s="19" t="s">
        <v>60</v>
      </c>
      <c r="B248" s="19" t="s">
        <v>58</v>
      </c>
      <c r="C248" s="56">
        <v>5000.0</v>
      </c>
      <c r="D248" s="57" t="s">
        <v>115</v>
      </c>
      <c r="E248" s="59" t="s">
        <v>415</v>
      </c>
      <c r="F248" s="70" t="s">
        <v>323</v>
      </c>
    </row>
    <row r="249" ht="22.5" customHeight="1">
      <c r="A249" s="19" t="s">
        <v>61</v>
      </c>
      <c r="B249" s="19" t="s">
        <v>62</v>
      </c>
      <c r="C249" s="56">
        <v>5000.0</v>
      </c>
      <c r="D249" s="57" t="s">
        <v>115</v>
      </c>
      <c r="E249" s="59" t="s">
        <v>416</v>
      </c>
      <c r="F249" s="59" t="s">
        <v>417</v>
      </c>
    </row>
    <row r="250" ht="22.5" customHeight="1">
      <c r="A250" s="19" t="s">
        <v>63</v>
      </c>
      <c r="B250" s="19" t="s">
        <v>62</v>
      </c>
      <c r="C250" s="56">
        <v>5000.0</v>
      </c>
      <c r="D250" s="57" t="s">
        <v>115</v>
      </c>
      <c r="E250" s="59" t="s">
        <v>416</v>
      </c>
      <c r="F250" s="59" t="s">
        <v>417</v>
      </c>
    </row>
    <row r="251" ht="22.5" customHeight="1">
      <c r="A251" s="19" t="s">
        <v>65</v>
      </c>
      <c r="B251" s="19" t="s">
        <v>62</v>
      </c>
      <c r="C251" s="56">
        <v>5000.0</v>
      </c>
      <c r="D251" s="57" t="s">
        <v>115</v>
      </c>
      <c r="E251" s="59" t="s">
        <v>416</v>
      </c>
      <c r="F251" s="59" t="s">
        <v>417</v>
      </c>
    </row>
    <row r="252" ht="22.5" customHeight="1">
      <c r="A252" s="19" t="s">
        <v>66</v>
      </c>
      <c r="B252" s="19" t="s">
        <v>62</v>
      </c>
      <c r="C252" s="56">
        <v>5000.0</v>
      </c>
      <c r="D252" s="57" t="s">
        <v>115</v>
      </c>
      <c r="E252" s="59" t="s">
        <v>416</v>
      </c>
      <c r="F252" s="59" t="s">
        <v>417</v>
      </c>
    </row>
    <row r="253" ht="22.5" customHeight="1">
      <c r="A253" s="19" t="s">
        <v>67</v>
      </c>
      <c r="B253" s="19" t="s">
        <v>68</v>
      </c>
      <c r="C253" s="56">
        <v>5000.0</v>
      </c>
      <c r="D253" s="57" t="s">
        <v>115</v>
      </c>
      <c r="E253" s="59" t="s">
        <v>415</v>
      </c>
      <c r="F253" s="59" t="s">
        <v>418</v>
      </c>
      <c r="H253" s="224"/>
      <c r="I253" s="224"/>
    </row>
    <row r="254" ht="22.5" customHeight="1">
      <c r="A254" s="19" t="s">
        <v>69</v>
      </c>
      <c r="B254" s="19" t="s">
        <v>70</v>
      </c>
      <c r="C254" s="56">
        <v>5000.0</v>
      </c>
      <c r="D254" s="57" t="s">
        <v>115</v>
      </c>
      <c r="E254" s="59" t="s">
        <v>419</v>
      </c>
      <c r="F254" s="59" t="s">
        <v>420</v>
      </c>
    </row>
    <row r="255" ht="22.5" customHeight="1">
      <c r="A255" s="19" t="s">
        <v>72</v>
      </c>
      <c r="B255" s="19" t="s">
        <v>70</v>
      </c>
      <c r="C255" s="56">
        <v>5000.0</v>
      </c>
      <c r="D255" s="57" t="s">
        <v>115</v>
      </c>
      <c r="E255" s="59" t="s">
        <v>419</v>
      </c>
      <c r="F255" s="59" t="s">
        <v>420</v>
      </c>
      <c r="H255" s="224"/>
      <c r="I255" s="224"/>
    </row>
    <row r="256" ht="22.5" customHeight="1">
      <c r="A256" s="19" t="s">
        <v>73</v>
      </c>
      <c r="B256" s="19" t="s">
        <v>70</v>
      </c>
      <c r="C256" s="56">
        <v>5000.0</v>
      </c>
      <c r="D256" s="57" t="s">
        <v>115</v>
      </c>
      <c r="E256" s="59" t="s">
        <v>419</v>
      </c>
      <c r="F256" s="215" t="s">
        <v>420</v>
      </c>
    </row>
    <row r="257" ht="22.5" customHeight="1">
      <c r="A257" s="19" t="s">
        <v>74</v>
      </c>
      <c r="B257" s="19" t="s">
        <v>37</v>
      </c>
      <c r="C257" s="56">
        <v>5000.0</v>
      </c>
      <c r="D257" s="57" t="s">
        <v>115</v>
      </c>
      <c r="E257" s="59" t="s">
        <v>416</v>
      </c>
      <c r="F257" s="59" t="s">
        <v>421</v>
      </c>
    </row>
    <row r="258" ht="22.5" customHeight="1">
      <c r="A258" s="19" t="s">
        <v>76</v>
      </c>
      <c r="B258" s="19" t="s">
        <v>37</v>
      </c>
      <c r="C258" s="56">
        <v>5000.0</v>
      </c>
      <c r="D258" s="57" t="s">
        <v>115</v>
      </c>
      <c r="E258" s="59" t="s">
        <v>416</v>
      </c>
      <c r="F258" s="59" t="s">
        <v>421</v>
      </c>
    </row>
    <row r="259" ht="22.5" customHeight="1">
      <c r="A259" s="19" t="s">
        <v>80</v>
      </c>
      <c r="B259" s="19" t="s">
        <v>81</v>
      </c>
      <c r="C259" s="56">
        <v>5000.0</v>
      </c>
      <c r="D259" s="57" t="s">
        <v>115</v>
      </c>
      <c r="E259" s="59" t="s">
        <v>422</v>
      </c>
      <c r="F259" s="222" t="s">
        <v>423</v>
      </c>
    </row>
    <row r="260" ht="22.5" customHeight="1">
      <c r="A260" s="19" t="s">
        <v>82</v>
      </c>
      <c r="B260" s="19" t="s">
        <v>37</v>
      </c>
      <c r="C260" s="56">
        <v>5000.0</v>
      </c>
      <c r="D260" s="57" t="s">
        <v>115</v>
      </c>
      <c r="E260" s="59" t="s">
        <v>422</v>
      </c>
      <c r="F260" s="222" t="s">
        <v>423</v>
      </c>
    </row>
    <row r="261" ht="22.5" customHeight="1">
      <c r="A261" s="19" t="s">
        <v>83</v>
      </c>
      <c r="B261" s="19" t="s">
        <v>84</v>
      </c>
      <c r="C261" s="56">
        <v>5000.0</v>
      </c>
      <c r="D261" s="57" t="s">
        <v>115</v>
      </c>
      <c r="E261" s="59" t="s">
        <v>419</v>
      </c>
      <c r="F261" s="59" t="s">
        <v>314</v>
      </c>
    </row>
    <row r="262" ht="22.5" customHeight="1">
      <c r="A262" s="19" t="s">
        <v>89</v>
      </c>
      <c r="B262" s="19" t="s">
        <v>84</v>
      </c>
      <c r="C262" s="56">
        <v>5000.0</v>
      </c>
      <c r="D262" s="57" t="s">
        <v>115</v>
      </c>
      <c r="E262" s="59" t="s">
        <v>419</v>
      </c>
      <c r="F262" s="59" t="s">
        <v>314</v>
      </c>
    </row>
    <row r="263" ht="22.5" customHeight="1">
      <c r="A263" s="19" t="s">
        <v>90</v>
      </c>
      <c r="B263" s="19" t="s">
        <v>84</v>
      </c>
      <c r="C263" s="56">
        <v>5000.0</v>
      </c>
      <c r="D263" s="57" t="s">
        <v>115</v>
      </c>
      <c r="E263" s="59" t="s">
        <v>419</v>
      </c>
      <c r="F263" s="59" t="s">
        <v>314</v>
      </c>
    </row>
    <row r="264" ht="22.5" customHeight="1">
      <c r="A264" s="19" t="s">
        <v>91</v>
      </c>
      <c r="B264" s="19" t="s">
        <v>92</v>
      </c>
      <c r="C264" s="56">
        <v>5000.0</v>
      </c>
      <c r="D264" s="57" t="s">
        <v>115</v>
      </c>
      <c r="E264" s="59" t="s">
        <v>422</v>
      </c>
      <c r="F264" s="59" t="s">
        <v>424</v>
      </c>
    </row>
    <row r="265" ht="22.5" customHeight="1">
      <c r="A265" s="19" t="s">
        <v>94</v>
      </c>
      <c r="B265" s="19" t="s">
        <v>92</v>
      </c>
      <c r="C265" s="56">
        <v>5000.0</v>
      </c>
      <c r="D265" s="57" t="s">
        <v>115</v>
      </c>
      <c r="E265" s="59" t="s">
        <v>422</v>
      </c>
      <c r="F265" s="59" t="s">
        <v>424</v>
      </c>
    </row>
    <row r="266" ht="22.5" customHeight="1">
      <c r="A266" s="19" t="s">
        <v>96</v>
      </c>
      <c r="B266" s="19" t="s">
        <v>92</v>
      </c>
      <c r="C266" s="56">
        <v>5000.0</v>
      </c>
      <c r="D266" s="57" t="s">
        <v>115</v>
      </c>
      <c r="E266" s="59" t="s">
        <v>422</v>
      </c>
      <c r="F266" s="59" t="s">
        <v>424</v>
      </c>
    </row>
    <row r="267" ht="22.5" customHeight="1">
      <c r="A267" s="19" t="s">
        <v>97</v>
      </c>
      <c r="B267" s="19" t="s">
        <v>46</v>
      </c>
      <c r="C267" s="56">
        <v>5000.0</v>
      </c>
      <c r="D267" s="57" t="s">
        <v>115</v>
      </c>
      <c r="E267" s="59" t="s">
        <v>411</v>
      </c>
      <c r="F267" s="215" t="s">
        <v>425</v>
      </c>
    </row>
    <row r="268" ht="22.5" customHeight="1">
      <c r="A268" s="19" t="s">
        <v>98</v>
      </c>
      <c r="B268" s="19" t="s">
        <v>46</v>
      </c>
      <c r="C268" s="56">
        <v>5000.0</v>
      </c>
      <c r="D268" s="57" t="s">
        <v>115</v>
      </c>
      <c r="E268" s="59" t="s">
        <v>411</v>
      </c>
      <c r="F268" s="215" t="s">
        <v>425</v>
      </c>
    </row>
    <row r="269" ht="22.5" customHeight="1">
      <c r="A269" s="19" t="s">
        <v>99</v>
      </c>
      <c r="B269" s="215" t="s">
        <v>77</v>
      </c>
      <c r="C269" s="56">
        <v>5000.0</v>
      </c>
      <c r="D269" s="57" t="s">
        <v>115</v>
      </c>
      <c r="E269" s="59" t="s">
        <v>416</v>
      </c>
      <c r="F269" s="70" t="s">
        <v>426</v>
      </c>
    </row>
    <row r="270" ht="22.5" customHeight="1">
      <c r="A270" s="19" t="s">
        <v>101</v>
      </c>
      <c r="B270" s="215" t="s">
        <v>102</v>
      </c>
      <c r="C270" s="56">
        <v>5000.0</v>
      </c>
      <c r="D270" s="57" t="s">
        <v>115</v>
      </c>
      <c r="E270" s="59" t="s">
        <v>415</v>
      </c>
      <c r="F270" s="59" t="s">
        <v>427</v>
      </c>
    </row>
    <row r="271" ht="22.5" customHeight="1">
      <c r="A271" s="19" t="s">
        <v>103</v>
      </c>
      <c r="B271" s="215" t="s">
        <v>77</v>
      </c>
      <c r="C271" s="56">
        <v>5000.0</v>
      </c>
      <c r="D271" s="57" t="s">
        <v>115</v>
      </c>
      <c r="E271" s="59" t="s">
        <v>428</v>
      </c>
      <c r="F271" s="59" t="s">
        <v>429</v>
      </c>
    </row>
    <row r="272" ht="22.5" customHeight="1">
      <c r="A272" s="19" t="s">
        <v>105</v>
      </c>
      <c r="B272" s="215" t="s">
        <v>106</v>
      </c>
      <c r="C272" s="56">
        <v>5000.0</v>
      </c>
      <c r="D272" s="57" t="s">
        <v>115</v>
      </c>
      <c r="E272" s="59" t="s">
        <v>411</v>
      </c>
      <c r="F272" s="59" t="s">
        <v>430</v>
      </c>
    </row>
    <row r="273" ht="22.5" customHeight="1">
      <c r="A273" s="19" t="s">
        <v>107</v>
      </c>
      <c r="B273" s="215" t="s">
        <v>108</v>
      </c>
      <c r="C273" s="56">
        <v>5000.0</v>
      </c>
      <c r="D273" s="57" t="s">
        <v>115</v>
      </c>
      <c r="E273" s="59" t="s">
        <v>411</v>
      </c>
      <c r="F273" s="225" t="s">
        <v>431</v>
      </c>
    </row>
    <row r="274" ht="22.5" customHeight="1">
      <c r="A274" s="19" t="s">
        <v>109</v>
      </c>
      <c r="B274" s="215" t="s">
        <v>77</v>
      </c>
      <c r="C274" s="56">
        <v>5000.0</v>
      </c>
      <c r="D274" s="57" t="s">
        <v>115</v>
      </c>
      <c r="E274" s="59" t="s">
        <v>416</v>
      </c>
      <c r="F274" s="59" t="s">
        <v>426</v>
      </c>
    </row>
    <row r="275" ht="22.5" customHeight="1">
      <c r="A275" s="19" t="s">
        <v>110</v>
      </c>
      <c r="B275" s="215" t="s">
        <v>77</v>
      </c>
      <c r="C275" s="56">
        <v>5000.0</v>
      </c>
      <c r="D275" s="57" t="s">
        <v>115</v>
      </c>
      <c r="E275" s="59" t="s">
        <v>416</v>
      </c>
      <c r="F275" s="70" t="s">
        <v>426</v>
      </c>
    </row>
    <row r="276" ht="22.5" customHeight="1">
      <c r="A276" s="19" t="s">
        <v>111</v>
      </c>
      <c r="B276" s="215" t="s">
        <v>113</v>
      </c>
      <c r="C276" s="56">
        <v>5000.0</v>
      </c>
      <c r="D276" s="205" t="s">
        <v>274</v>
      </c>
      <c r="E276" s="59" t="s">
        <v>383</v>
      </c>
      <c r="F276" s="223" t="s">
        <v>432</v>
      </c>
    </row>
    <row r="277" ht="22.5" customHeight="1">
      <c r="A277" s="19" t="s">
        <v>119</v>
      </c>
      <c r="B277" s="215" t="s">
        <v>120</v>
      </c>
      <c r="C277" s="56">
        <v>5000.0</v>
      </c>
      <c r="D277" s="57" t="s">
        <v>115</v>
      </c>
      <c r="E277" s="59" t="s">
        <v>411</v>
      </c>
      <c r="F277" s="70" t="s">
        <v>433</v>
      </c>
    </row>
    <row r="278" ht="22.5" customHeight="1">
      <c r="A278" s="19" t="s">
        <v>121</v>
      </c>
      <c r="B278" s="215" t="s">
        <v>120</v>
      </c>
      <c r="C278" s="56">
        <v>5000.0</v>
      </c>
      <c r="D278" s="57" t="s">
        <v>115</v>
      </c>
      <c r="E278" s="59" t="s">
        <v>411</v>
      </c>
      <c r="F278" s="223" t="s">
        <v>434</v>
      </c>
    </row>
    <row r="279" ht="22.5" customHeight="1">
      <c r="A279" s="19" t="s">
        <v>123</v>
      </c>
      <c r="B279" s="215" t="s">
        <v>120</v>
      </c>
      <c r="C279" s="56">
        <v>5000.0</v>
      </c>
      <c r="D279" s="57" t="s">
        <v>115</v>
      </c>
      <c r="E279" s="59" t="s">
        <v>411</v>
      </c>
      <c r="F279" s="223" t="s">
        <v>434</v>
      </c>
    </row>
    <row r="280" ht="22.5" customHeight="1">
      <c r="A280" s="19" t="s">
        <v>124</v>
      </c>
      <c r="B280" s="215" t="s">
        <v>120</v>
      </c>
      <c r="C280" s="27">
        <v>5000.0</v>
      </c>
      <c r="D280" s="205" t="s">
        <v>274</v>
      </c>
      <c r="E280" s="223" t="s">
        <v>435</v>
      </c>
      <c r="F280" s="223" t="s">
        <v>436</v>
      </c>
    </row>
    <row r="281" ht="22.5" customHeight="1">
      <c r="A281" s="19" t="s">
        <v>126</v>
      </c>
      <c r="B281" s="215" t="s">
        <v>58</v>
      </c>
      <c r="C281" s="56">
        <v>5000.0</v>
      </c>
      <c r="D281" s="57" t="s">
        <v>115</v>
      </c>
      <c r="E281" s="223" t="s">
        <v>413</v>
      </c>
      <c r="F281" s="223" t="s">
        <v>437</v>
      </c>
    </row>
    <row r="282" ht="22.5" customHeight="1">
      <c r="A282" s="19" t="s">
        <v>127</v>
      </c>
      <c r="B282" s="215" t="s">
        <v>58</v>
      </c>
      <c r="C282" s="56">
        <v>5000.0</v>
      </c>
      <c r="D282" s="57" t="s">
        <v>115</v>
      </c>
      <c r="E282" s="223" t="s">
        <v>413</v>
      </c>
      <c r="F282" s="223" t="s">
        <v>437</v>
      </c>
    </row>
    <row r="283" ht="22.5" customHeight="1">
      <c r="A283" s="19" t="s">
        <v>128</v>
      </c>
      <c r="B283" s="215" t="s">
        <v>62</v>
      </c>
      <c r="C283" s="56">
        <v>5000.0</v>
      </c>
      <c r="D283" s="57" t="s">
        <v>115</v>
      </c>
      <c r="E283" s="59" t="s">
        <v>416</v>
      </c>
      <c r="F283" s="223" t="s">
        <v>417</v>
      </c>
    </row>
    <row r="284" ht="22.5" customHeight="1">
      <c r="A284" s="19" t="s">
        <v>129</v>
      </c>
      <c r="B284" s="215" t="s">
        <v>92</v>
      </c>
      <c r="C284" s="56">
        <v>5000.0</v>
      </c>
      <c r="D284" s="57" t="s">
        <v>115</v>
      </c>
      <c r="E284" s="59" t="s">
        <v>422</v>
      </c>
      <c r="F284" s="59" t="s">
        <v>424</v>
      </c>
    </row>
    <row r="285" ht="22.5" customHeight="1">
      <c r="A285" s="19" t="s">
        <v>130</v>
      </c>
      <c r="B285" s="215" t="s">
        <v>23</v>
      </c>
      <c r="C285" s="56">
        <v>5000.0</v>
      </c>
      <c r="D285" s="57" t="s">
        <v>115</v>
      </c>
      <c r="E285" s="223" t="s">
        <v>413</v>
      </c>
      <c r="F285" s="223" t="s">
        <v>414</v>
      </c>
    </row>
    <row r="286" ht="22.5" customHeight="1">
      <c r="A286" s="19" t="s">
        <v>132</v>
      </c>
      <c r="B286" s="215" t="s">
        <v>23</v>
      </c>
      <c r="C286" s="56">
        <v>5000.0</v>
      </c>
      <c r="D286" s="57" t="s">
        <v>115</v>
      </c>
      <c r="E286" s="223" t="s">
        <v>413</v>
      </c>
      <c r="F286" s="223" t="s">
        <v>414</v>
      </c>
    </row>
    <row r="287" ht="22.5" customHeight="1">
      <c r="A287" s="19" t="s">
        <v>133</v>
      </c>
      <c r="B287" s="215" t="s">
        <v>77</v>
      </c>
      <c r="C287" s="56">
        <v>5000.0</v>
      </c>
      <c r="D287" s="57" t="s">
        <v>115</v>
      </c>
      <c r="E287" s="59" t="s">
        <v>416</v>
      </c>
      <c r="F287" s="59" t="s">
        <v>426</v>
      </c>
    </row>
    <row r="288" ht="22.5" customHeight="1">
      <c r="A288" s="19" t="s">
        <v>134</v>
      </c>
      <c r="B288" s="19" t="s">
        <v>70</v>
      </c>
      <c r="C288" s="56">
        <v>5000.0</v>
      </c>
      <c r="D288" s="57" t="s">
        <v>115</v>
      </c>
      <c r="E288" s="59" t="s">
        <v>419</v>
      </c>
      <c r="F288" s="59" t="s">
        <v>420</v>
      </c>
    </row>
    <row r="289" ht="22.5" customHeight="1">
      <c r="A289" s="19" t="s">
        <v>136</v>
      </c>
      <c r="B289" s="19" t="s">
        <v>70</v>
      </c>
      <c r="C289" s="56">
        <v>5000.0</v>
      </c>
      <c r="D289" s="57" t="s">
        <v>115</v>
      </c>
      <c r="E289" s="223" t="s">
        <v>438</v>
      </c>
      <c r="F289" s="59" t="s">
        <v>439</v>
      </c>
    </row>
    <row r="290" ht="22.5" customHeight="1">
      <c r="A290" s="19" t="s">
        <v>137</v>
      </c>
      <c r="B290" s="19" t="s">
        <v>70</v>
      </c>
      <c r="C290" s="226"/>
      <c r="D290" s="227"/>
      <c r="E290" s="228"/>
      <c r="F290" s="229"/>
    </row>
    <row r="291" ht="22.5" customHeight="1">
      <c r="A291" s="19" t="s">
        <v>138</v>
      </c>
      <c r="B291" s="19" t="s">
        <v>70</v>
      </c>
      <c r="C291" s="56">
        <v>5000.0</v>
      </c>
      <c r="D291" s="205" t="s">
        <v>381</v>
      </c>
      <c r="E291" s="218" t="s">
        <v>373</v>
      </c>
      <c r="F291" s="219" t="s">
        <v>382</v>
      </c>
    </row>
    <row r="292" ht="22.5" customHeight="1">
      <c r="A292" s="19" t="s">
        <v>139</v>
      </c>
      <c r="B292" s="19" t="s">
        <v>70</v>
      </c>
      <c r="C292" s="56">
        <v>5000.0</v>
      </c>
      <c r="D292" s="205" t="s">
        <v>381</v>
      </c>
      <c r="E292" s="218" t="s">
        <v>373</v>
      </c>
      <c r="F292" s="219" t="s">
        <v>382</v>
      </c>
    </row>
    <row r="293" ht="22.5" customHeight="1">
      <c r="A293" s="19" t="s">
        <v>140</v>
      </c>
      <c r="B293" s="19" t="s">
        <v>70</v>
      </c>
      <c r="C293" s="56">
        <v>5000.0</v>
      </c>
      <c r="D293" s="205" t="s">
        <v>381</v>
      </c>
      <c r="E293" s="218" t="s">
        <v>373</v>
      </c>
      <c r="F293" s="219" t="s">
        <v>382</v>
      </c>
    </row>
    <row r="294" ht="22.5" customHeight="1">
      <c r="A294" s="19" t="s">
        <v>143</v>
      </c>
      <c r="B294" s="19" t="s">
        <v>144</v>
      </c>
      <c r="C294" s="56">
        <v>5000.0</v>
      </c>
      <c r="D294" s="205" t="s">
        <v>381</v>
      </c>
      <c r="E294" s="59" t="s">
        <v>327</v>
      </c>
      <c r="F294" s="60" t="s">
        <v>329</v>
      </c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C301" s="21">
        <v>46082.0</v>
      </c>
      <c r="D301" s="22"/>
      <c r="E301" s="166">
        <f>SUM(March_2026[Payment])</f>
        <v>260000</v>
      </c>
      <c r="F301" s="25"/>
    </row>
    <row r="302" ht="22.5" customHeight="1">
      <c r="A302" s="29" t="s">
        <v>29</v>
      </c>
      <c r="B302" s="29" t="s">
        <v>13</v>
      </c>
      <c r="C302" s="29" t="s">
        <v>34</v>
      </c>
      <c r="D302" s="33" t="s">
        <v>35</v>
      </c>
      <c r="E302" s="29" t="s">
        <v>38</v>
      </c>
      <c r="F302" s="29" t="s">
        <v>40</v>
      </c>
    </row>
    <row r="303" ht="22.5" customHeight="1">
      <c r="A303" s="19" t="s">
        <v>42</v>
      </c>
      <c r="B303" s="19" t="s">
        <v>44</v>
      </c>
      <c r="C303" s="56">
        <v>5000.0</v>
      </c>
      <c r="D303" s="59" t="s">
        <v>115</v>
      </c>
      <c r="E303" s="59" t="s">
        <v>440</v>
      </c>
      <c r="F303" s="59" t="s">
        <v>441</v>
      </c>
    </row>
    <row r="304" ht="22.5" customHeight="1">
      <c r="A304" s="19" t="s">
        <v>47</v>
      </c>
      <c r="B304" s="19" t="s">
        <v>44</v>
      </c>
      <c r="C304" s="56">
        <v>5000.0</v>
      </c>
      <c r="D304" s="59" t="s">
        <v>115</v>
      </c>
      <c r="E304" s="59" t="s">
        <v>440</v>
      </c>
      <c r="F304" s="59" t="s">
        <v>441</v>
      </c>
    </row>
    <row r="305" ht="22.5" customHeight="1">
      <c r="A305" s="19" t="s">
        <v>51</v>
      </c>
      <c r="B305" s="19" t="s">
        <v>44</v>
      </c>
      <c r="C305" s="56">
        <v>5000.0</v>
      </c>
      <c r="D305" s="59" t="s">
        <v>115</v>
      </c>
      <c r="E305" s="59" t="s">
        <v>440</v>
      </c>
      <c r="F305" s="59" t="s">
        <v>441</v>
      </c>
    </row>
    <row r="306" ht="22.5" customHeight="1">
      <c r="A306" s="19" t="s">
        <v>55</v>
      </c>
      <c r="B306" s="19" t="s">
        <v>23</v>
      </c>
      <c r="C306" s="56">
        <v>5000.0</v>
      </c>
      <c r="D306" s="59" t="s">
        <v>115</v>
      </c>
      <c r="E306" s="59" t="s">
        <v>442</v>
      </c>
      <c r="F306" s="223" t="s">
        <v>443</v>
      </c>
    </row>
    <row r="307" ht="22.5" customHeight="1">
      <c r="A307" s="19" t="s">
        <v>56</v>
      </c>
      <c r="B307" s="19" t="s">
        <v>23</v>
      </c>
      <c r="C307" s="56">
        <v>5000.0</v>
      </c>
      <c r="D307" s="59" t="s">
        <v>115</v>
      </c>
      <c r="E307" s="59" t="s">
        <v>442</v>
      </c>
      <c r="F307" s="223" t="s">
        <v>443</v>
      </c>
    </row>
    <row r="308" ht="22.5" customHeight="1">
      <c r="A308" s="19" t="s">
        <v>57</v>
      </c>
      <c r="B308" s="19" t="s">
        <v>58</v>
      </c>
      <c r="C308" s="56">
        <v>5000.0</v>
      </c>
      <c r="D308" s="59" t="s">
        <v>115</v>
      </c>
      <c r="E308" s="59" t="s">
        <v>440</v>
      </c>
      <c r="F308" s="215" t="s">
        <v>444</v>
      </c>
    </row>
    <row r="309" ht="22.5" customHeight="1">
      <c r="A309" s="19" t="s">
        <v>60</v>
      </c>
      <c r="B309" s="19" t="s">
        <v>58</v>
      </c>
      <c r="C309" s="56">
        <v>5000.0</v>
      </c>
      <c r="D309" s="59" t="s">
        <v>115</v>
      </c>
      <c r="E309" s="59" t="s">
        <v>440</v>
      </c>
      <c r="F309" s="215" t="s">
        <v>444</v>
      </c>
    </row>
    <row r="310" ht="22.5" customHeight="1">
      <c r="A310" s="19" t="s">
        <v>61</v>
      </c>
      <c r="B310" s="19" t="s">
        <v>62</v>
      </c>
      <c r="C310" s="56">
        <v>5000.0</v>
      </c>
      <c r="D310" s="59" t="s">
        <v>115</v>
      </c>
      <c r="E310" s="59" t="s">
        <v>442</v>
      </c>
      <c r="F310" s="59" t="s">
        <v>445</v>
      </c>
    </row>
    <row r="311" ht="22.5" customHeight="1">
      <c r="A311" s="19" t="s">
        <v>63</v>
      </c>
      <c r="B311" s="19" t="s">
        <v>62</v>
      </c>
      <c r="C311" s="56">
        <v>5000.0</v>
      </c>
      <c r="D311" s="59" t="s">
        <v>115</v>
      </c>
      <c r="E311" s="59" t="s">
        <v>442</v>
      </c>
      <c r="F311" s="59" t="s">
        <v>445</v>
      </c>
    </row>
    <row r="312" ht="22.5" customHeight="1">
      <c r="A312" s="19" t="s">
        <v>65</v>
      </c>
      <c r="B312" s="19" t="s">
        <v>62</v>
      </c>
      <c r="C312" s="56">
        <v>5000.0</v>
      </c>
      <c r="D312" s="59" t="s">
        <v>115</v>
      </c>
      <c r="E312" s="59" t="s">
        <v>442</v>
      </c>
      <c r="F312" s="59" t="s">
        <v>445</v>
      </c>
    </row>
    <row r="313" ht="22.5" customHeight="1">
      <c r="A313" s="19" t="s">
        <v>66</v>
      </c>
      <c r="B313" s="19" t="s">
        <v>62</v>
      </c>
      <c r="C313" s="56">
        <v>5000.0</v>
      </c>
      <c r="D313" s="59" t="s">
        <v>115</v>
      </c>
      <c r="E313" s="59" t="s">
        <v>442</v>
      </c>
      <c r="F313" s="59" t="s">
        <v>445</v>
      </c>
    </row>
    <row r="314" ht="22.5" customHeight="1">
      <c r="A314" s="19" t="s">
        <v>67</v>
      </c>
      <c r="B314" s="19" t="s">
        <v>68</v>
      </c>
      <c r="C314" s="56">
        <v>5000.0</v>
      </c>
      <c r="D314" s="59" t="s">
        <v>115</v>
      </c>
      <c r="E314" s="59" t="s">
        <v>440</v>
      </c>
      <c r="F314" s="59" t="s">
        <v>446</v>
      </c>
    </row>
    <row r="315" ht="22.5" customHeight="1">
      <c r="A315" s="19" t="s">
        <v>69</v>
      </c>
      <c r="B315" s="19" t="s">
        <v>70</v>
      </c>
      <c r="C315" s="56">
        <v>5000.0</v>
      </c>
      <c r="D315" s="59" t="s">
        <v>115</v>
      </c>
      <c r="E315" s="59" t="s">
        <v>440</v>
      </c>
      <c r="F315" s="59" t="s">
        <v>447</v>
      </c>
    </row>
    <row r="316" ht="22.5" customHeight="1">
      <c r="A316" s="19" t="s">
        <v>72</v>
      </c>
      <c r="B316" s="19" t="s">
        <v>70</v>
      </c>
      <c r="C316" s="56">
        <v>5000.0</v>
      </c>
      <c r="D316" s="59" t="s">
        <v>115</v>
      </c>
      <c r="E316" s="59" t="s">
        <v>440</v>
      </c>
      <c r="F316" s="59" t="s">
        <v>447</v>
      </c>
    </row>
    <row r="317" ht="22.5" customHeight="1">
      <c r="A317" s="19" t="s">
        <v>73</v>
      </c>
      <c r="B317" s="19" t="s">
        <v>70</v>
      </c>
      <c r="C317" s="56">
        <v>5000.0</v>
      </c>
      <c r="D317" s="59" t="s">
        <v>115</v>
      </c>
      <c r="E317" s="59" t="s">
        <v>440</v>
      </c>
      <c r="F317" s="215" t="s">
        <v>447</v>
      </c>
    </row>
    <row r="318" ht="22.5" customHeight="1">
      <c r="A318" s="19" t="s">
        <v>74</v>
      </c>
      <c r="B318" s="19" t="s">
        <v>37</v>
      </c>
      <c r="C318" s="56">
        <v>5000.0</v>
      </c>
      <c r="D318" s="59" t="s">
        <v>115</v>
      </c>
      <c r="E318" s="59" t="s">
        <v>442</v>
      </c>
      <c r="F318" s="59" t="s">
        <v>448</v>
      </c>
    </row>
    <row r="319" ht="22.5" customHeight="1">
      <c r="A319" s="19" t="s">
        <v>76</v>
      </c>
      <c r="B319" s="19" t="s">
        <v>37</v>
      </c>
      <c r="C319" s="56">
        <v>5000.0</v>
      </c>
      <c r="D319" s="59" t="s">
        <v>115</v>
      </c>
      <c r="E319" s="59" t="s">
        <v>442</v>
      </c>
      <c r="F319" s="59" t="s">
        <v>448</v>
      </c>
    </row>
    <row r="320" ht="22.5" customHeight="1">
      <c r="A320" s="19" t="s">
        <v>80</v>
      </c>
      <c r="B320" s="19" t="s">
        <v>81</v>
      </c>
      <c r="C320" s="56">
        <v>5000.0</v>
      </c>
      <c r="D320" s="59" t="s">
        <v>115</v>
      </c>
      <c r="E320" s="215" t="s">
        <v>449</v>
      </c>
      <c r="F320" s="59" t="s">
        <v>450</v>
      </c>
    </row>
    <row r="321" ht="22.5" customHeight="1">
      <c r="A321" s="19" t="s">
        <v>82</v>
      </c>
      <c r="B321" s="19" t="s">
        <v>37</v>
      </c>
      <c r="C321" s="56">
        <v>5000.0</v>
      </c>
      <c r="D321" s="59" t="s">
        <v>115</v>
      </c>
      <c r="E321" s="215" t="s">
        <v>451</v>
      </c>
      <c r="F321" s="59" t="s">
        <v>452</v>
      </c>
    </row>
    <row r="322" ht="22.5" customHeight="1">
      <c r="A322" s="19" t="s">
        <v>83</v>
      </c>
      <c r="B322" s="19" t="s">
        <v>84</v>
      </c>
      <c r="C322" s="56">
        <v>5000.0</v>
      </c>
      <c r="D322" s="59" t="s">
        <v>115</v>
      </c>
      <c r="E322" s="59" t="s">
        <v>440</v>
      </c>
      <c r="F322" s="59" t="s">
        <v>453</v>
      </c>
    </row>
    <row r="323" ht="22.5" customHeight="1">
      <c r="A323" s="19" t="s">
        <v>89</v>
      </c>
      <c r="B323" s="19" t="s">
        <v>84</v>
      </c>
      <c r="C323" s="56">
        <v>5000.0</v>
      </c>
      <c r="D323" s="59" t="s">
        <v>115</v>
      </c>
      <c r="E323" s="59" t="s">
        <v>440</v>
      </c>
      <c r="F323" s="59" t="s">
        <v>453</v>
      </c>
    </row>
    <row r="324" ht="22.5" customHeight="1">
      <c r="A324" s="19" t="s">
        <v>90</v>
      </c>
      <c r="B324" s="19" t="s">
        <v>84</v>
      </c>
      <c r="C324" s="56">
        <v>5000.0</v>
      </c>
      <c r="D324" s="59" t="s">
        <v>115</v>
      </c>
      <c r="E324" s="59" t="s">
        <v>440</v>
      </c>
      <c r="F324" s="59" t="s">
        <v>453</v>
      </c>
    </row>
    <row r="325" ht="22.5" customHeight="1">
      <c r="A325" s="19" t="s">
        <v>91</v>
      </c>
      <c r="B325" s="19" t="s">
        <v>92</v>
      </c>
      <c r="C325" s="56">
        <v>5000.0</v>
      </c>
      <c r="D325" s="59" t="s">
        <v>115</v>
      </c>
      <c r="E325" s="59" t="s">
        <v>454</v>
      </c>
      <c r="F325" s="59" t="s">
        <v>455</v>
      </c>
    </row>
    <row r="326" ht="22.5" customHeight="1">
      <c r="A326" s="19" t="s">
        <v>94</v>
      </c>
      <c r="B326" s="19" t="s">
        <v>92</v>
      </c>
      <c r="C326" s="56">
        <v>5000.0</v>
      </c>
      <c r="D326" s="59" t="s">
        <v>115</v>
      </c>
      <c r="E326" s="59" t="s">
        <v>454</v>
      </c>
      <c r="F326" s="59" t="s">
        <v>455</v>
      </c>
    </row>
    <row r="327" ht="22.5" customHeight="1">
      <c r="A327" s="19" t="s">
        <v>96</v>
      </c>
      <c r="B327" s="19" t="s">
        <v>92</v>
      </c>
      <c r="C327" s="56">
        <v>5000.0</v>
      </c>
      <c r="D327" s="59" t="s">
        <v>115</v>
      </c>
      <c r="E327" s="59" t="s">
        <v>454</v>
      </c>
      <c r="F327" s="59" t="s">
        <v>455</v>
      </c>
    </row>
    <row r="328" ht="22.5" customHeight="1">
      <c r="A328" s="19" t="s">
        <v>97</v>
      </c>
      <c r="B328" s="19" t="s">
        <v>46</v>
      </c>
      <c r="C328" s="56">
        <v>5000.0</v>
      </c>
      <c r="D328" s="59" t="s">
        <v>115</v>
      </c>
      <c r="E328" s="59" t="s">
        <v>440</v>
      </c>
      <c r="F328" s="215" t="s">
        <v>456</v>
      </c>
    </row>
    <row r="329" ht="22.5" customHeight="1">
      <c r="A329" s="19" t="s">
        <v>98</v>
      </c>
      <c r="B329" s="19" t="s">
        <v>46</v>
      </c>
      <c r="C329" s="56">
        <v>5000.0</v>
      </c>
      <c r="D329" s="59" t="s">
        <v>115</v>
      </c>
      <c r="E329" s="59" t="s">
        <v>440</v>
      </c>
      <c r="F329" s="215" t="s">
        <v>456</v>
      </c>
    </row>
    <row r="330" ht="22.5" customHeight="1">
      <c r="A330" s="19" t="s">
        <v>99</v>
      </c>
      <c r="B330" s="19" t="s">
        <v>77</v>
      </c>
      <c r="C330" s="56">
        <v>5000.0</v>
      </c>
      <c r="D330" s="59" t="s">
        <v>115</v>
      </c>
      <c r="E330" s="59" t="s">
        <v>442</v>
      </c>
      <c r="F330" s="70" t="s">
        <v>457</v>
      </c>
    </row>
    <row r="331" ht="22.5" customHeight="1">
      <c r="A331" s="19" t="s">
        <v>101</v>
      </c>
      <c r="B331" s="19" t="s">
        <v>102</v>
      </c>
      <c r="C331" s="56">
        <v>5000.0</v>
      </c>
      <c r="D331" s="59" t="s">
        <v>115</v>
      </c>
      <c r="E331" s="59" t="s">
        <v>440</v>
      </c>
      <c r="F331" s="230" t="s">
        <v>458</v>
      </c>
    </row>
    <row r="332" ht="22.5" customHeight="1">
      <c r="A332" s="19" t="s">
        <v>103</v>
      </c>
      <c r="B332" s="19" t="s">
        <v>77</v>
      </c>
      <c r="C332" s="56">
        <v>5000.0</v>
      </c>
      <c r="D332" s="59" t="s">
        <v>115</v>
      </c>
      <c r="E332" s="223" t="s">
        <v>459</v>
      </c>
      <c r="F332" s="59" t="s">
        <v>460</v>
      </c>
    </row>
    <row r="333" ht="22.5" customHeight="1">
      <c r="A333" s="19" t="s">
        <v>105</v>
      </c>
      <c r="B333" s="19" t="s">
        <v>106</v>
      </c>
      <c r="C333" s="56">
        <v>5000.0</v>
      </c>
      <c r="D333" s="205" t="s">
        <v>381</v>
      </c>
      <c r="E333" s="59" t="s">
        <v>411</v>
      </c>
      <c r="F333" s="59" t="s">
        <v>430</v>
      </c>
    </row>
    <row r="334" ht="22.5" customHeight="1">
      <c r="A334" s="19" t="s">
        <v>107</v>
      </c>
      <c r="B334" s="19" t="s">
        <v>108</v>
      </c>
      <c r="C334" s="56">
        <v>5000.0</v>
      </c>
      <c r="D334" s="59" t="s">
        <v>115</v>
      </c>
      <c r="E334" s="59" t="s">
        <v>440</v>
      </c>
      <c r="F334" s="225" t="s">
        <v>461</v>
      </c>
    </row>
    <row r="335" ht="22.5" customHeight="1">
      <c r="A335" s="19" t="s">
        <v>109</v>
      </c>
      <c r="B335" s="19" t="s">
        <v>77</v>
      </c>
      <c r="C335" s="56">
        <v>5000.0</v>
      </c>
      <c r="D335" s="59" t="s">
        <v>115</v>
      </c>
      <c r="E335" s="223" t="s">
        <v>459</v>
      </c>
      <c r="F335" s="59" t="s">
        <v>460</v>
      </c>
    </row>
    <row r="336" ht="22.5" customHeight="1">
      <c r="A336" s="19" t="s">
        <v>110</v>
      </c>
      <c r="B336" s="70" t="s">
        <v>77</v>
      </c>
      <c r="C336" s="56">
        <v>5000.0</v>
      </c>
      <c r="D336" s="59" t="s">
        <v>115</v>
      </c>
      <c r="E336" s="59" t="s">
        <v>442</v>
      </c>
      <c r="F336" s="70" t="s">
        <v>457</v>
      </c>
    </row>
    <row r="337" ht="22.5" customHeight="1">
      <c r="A337" s="19" t="s">
        <v>111</v>
      </c>
      <c r="B337" s="70" t="s">
        <v>113</v>
      </c>
      <c r="C337" s="27">
        <v>5000.0</v>
      </c>
      <c r="D337" s="231" t="s">
        <v>381</v>
      </c>
      <c r="E337" s="59" t="s">
        <v>411</v>
      </c>
      <c r="F337" s="223" t="s">
        <v>462</v>
      </c>
    </row>
    <row r="338" ht="22.5" customHeight="1">
      <c r="A338" s="19" t="s">
        <v>119</v>
      </c>
      <c r="B338" s="70" t="s">
        <v>120</v>
      </c>
      <c r="C338" s="56">
        <v>5000.0</v>
      </c>
      <c r="D338" s="59" t="s">
        <v>115</v>
      </c>
      <c r="E338" s="59" t="s">
        <v>440</v>
      </c>
      <c r="F338" s="70" t="s">
        <v>463</v>
      </c>
    </row>
    <row r="339" ht="22.5" customHeight="1">
      <c r="A339" s="19" t="s">
        <v>121</v>
      </c>
      <c r="B339" s="70" t="s">
        <v>120</v>
      </c>
      <c r="C339" s="56">
        <v>5000.0</v>
      </c>
      <c r="D339" s="59" t="s">
        <v>115</v>
      </c>
      <c r="E339" s="223" t="s">
        <v>459</v>
      </c>
      <c r="F339" s="223" t="s">
        <v>464</v>
      </c>
    </row>
    <row r="340" ht="22.5" customHeight="1">
      <c r="A340" s="19" t="s">
        <v>123</v>
      </c>
      <c r="B340" s="70" t="s">
        <v>120</v>
      </c>
      <c r="C340" s="56">
        <v>5000.0</v>
      </c>
      <c r="D340" s="59" t="s">
        <v>115</v>
      </c>
      <c r="E340" s="223" t="s">
        <v>459</v>
      </c>
      <c r="F340" s="223" t="s">
        <v>464</v>
      </c>
    </row>
    <row r="341" ht="22.5" customHeight="1">
      <c r="A341" s="19" t="s">
        <v>124</v>
      </c>
      <c r="B341" s="70" t="s">
        <v>120</v>
      </c>
      <c r="C341" s="27">
        <v>5000.0</v>
      </c>
      <c r="D341" s="205" t="s">
        <v>274</v>
      </c>
      <c r="E341" s="223" t="s">
        <v>435</v>
      </c>
      <c r="F341" s="223" t="s">
        <v>436</v>
      </c>
    </row>
    <row r="342" ht="22.5" customHeight="1">
      <c r="A342" s="19" t="s">
        <v>126</v>
      </c>
      <c r="B342" s="19" t="s">
        <v>58</v>
      </c>
      <c r="C342" s="56">
        <v>5000.0</v>
      </c>
      <c r="D342" s="59" t="s">
        <v>115</v>
      </c>
      <c r="E342" s="59" t="s">
        <v>442</v>
      </c>
      <c r="F342" s="70" t="s">
        <v>465</v>
      </c>
    </row>
    <row r="343" ht="22.5" customHeight="1">
      <c r="A343" s="19" t="s">
        <v>127</v>
      </c>
      <c r="B343" s="19" t="s">
        <v>58</v>
      </c>
      <c r="C343" s="56">
        <v>5000.0</v>
      </c>
      <c r="D343" s="59" t="s">
        <v>115</v>
      </c>
      <c r="E343" s="59" t="s">
        <v>442</v>
      </c>
      <c r="F343" s="70" t="s">
        <v>465</v>
      </c>
    </row>
    <row r="344" ht="22.5" customHeight="1">
      <c r="A344" s="19" t="s">
        <v>128</v>
      </c>
      <c r="B344" s="19" t="s">
        <v>62</v>
      </c>
      <c r="C344" s="56">
        <v>5000.0</v>
      </c>
      <c r="D344" s="59" t="s">
        <v>115</v>
      </c>
      <c r="E344" s="59" t="s">
        <v>440</v>
      </c>
      <c r="F344" s="223" t="s">
        <v>466</v>
      </c>
    </row>
    <row r="345" ht="22.5" customHeight="1">
      <c r="A345" s="19" t="s">
        <v>129</v>
      </c>
      <c r="B345" s="19" t="s">
        <v>92</v>
      </c>
      <c r="C345" s="56">
        <v>5000.0</v>
      </c>
      <c r="D345" s="59" t="s">
        <v>115</v>
      </c>
      <c r="E345" s="59" t="s">
        <v>454</v>
      </c>
      <c r="F345" s="59" t="s">
        <v>455</v>
      </c>
    </row>
    <row r="346" ht="22.5" customHeight="1">
      <c r="A346" s="19" t="s">
        <v>130</v>
      </c>
      <c r="B346" s="19" t="s">
        <v>23</v>
      </c>
      <c r="C346" s="56">
        <v>5000.0</v>
      </c>
      <c r="D346" s="59" t="s">
        <v>115</v>
      </c>
      <c r="E346" s="59" t="s">
        <v>442</v>
      </c>
      <c r="F346" s="223" t="s">
        <v>443</v>
      </c>
    </row>
    <row r="347" ht="22.5" customHeight="1">
      <c r="A347" s="19" t="s">
        <v>132</v>
      </c>
      <c r="B347" s="19" t="s">
        <v>23</v>
      </c>
      <c r="C347" s="56">
        <v>5000.0</v>
      </c>
      <c r="D347" s="59" t="s">
        <v>115</v>
      </c>
      <c r="E347" s="59" t="s">
        <v>442</v>
      </c>
      <c r="F347" s="223" t="s">
        <v>443</v>
      </c>
    </row>
    <row r="348" ht="22.5" customHeight="1">
      <c r="A348" s="19" t="s">
        <v>133</v>
      </c>
      <c r="B348" s="19" t="s">
        <v>77</v>
      </c>
      <c r="C348" s="56">
        <v>5000.0</v>
      </c>
      <c r="D348" s="59" t="s">
        <v>115</v>
      </c>
      <c r="E348" s="223" t="s">
        <v>459</v>
      </c>
      <c r="F348" s="59" t="s">
        <v>460</v>
      </c>
    </row>
    <row r="349" ht="22.5" customHeight="1">
      <c r="A349" s="19" t="s">
        <v>134</v>
      </c>
      <c r="B349" s="19" t="s">
        <v>70</v>
      </c>
      <c r="C349" s="56">
        <v>5000.0</v>
      </c>
      <c r="D349" s="59" t="s">
        <v>115</v>
      </c>
      <c r="E349" s="223" t="s">
        <v>467</v>
      </c>
      <c r="F349" s="59" t="s">
        <v>468</v>
      </c>
    </row>
    <row r="350" ht="22.5" customHeight="1">
      <c r="A350" s="19" t="s">
        <v>136</v>
      </c>
      <c r="B350" s="19" t="s">
        <v>70</v>
      </c>
      <c r="C350" s="56">
        <v>5000.0</v>
      </c>
      <c r="D350" s="59" t="s">
        <v>115</v>
      </c>
      <c r="E350" s="223" t="s">
        <v>451</v>
      </c>
      <c r="F350" s="59" t="s">
        <v>469</v>
      </c>
    </row>
    <row r="351" ht="22.5" customHeight="1">
      <c r="A351" s="19" t="s">
        <v>137</v>
      </c>
      <c r="B351" s="19" t="s">
        <v>70</v>
      </c>
      <c r="C351" s="226"/>
      <c r="D351" s="227"/>
      <c r="E351" s="228"/>
      <c r="F351" s="229"/>
    </row>
    <row r="352" ht="22.5" customHeight="1">
      <c r="A352" s="19" t="s">
        <v>138</v>
      </c>
      <c r="B352" s="19" t="s">
        <v>70</v>
      </c>
      <c r="C352" s="56">
        <v>5000.0</v>
      </c>
      <c r="D352" s="205" t="s">
        <v>381</v>
      </c>
      <c r="E352" s="218" t="s">
        <v>373</v>
      </c>
      <c r="F352" s="219" t="s">
        <v>382</v>
      </c>
    </row>
    <row r="353" ht="22.5" customHeight="1">
      <c r="A353" s="19" t="s">
        <v>139</v>
      </c>
      <c r="B353" s="19" t="s">
        <v>70</v>
      </c>
      <c r="C353" s="56">
        <v>5000.0</v>
      </c>
      <c r="D353" s="205" t="s">
        <v>381</v>
      </c>
      <c r="E353" s="218" t="s">
        <v>373</v>
      </c>
      <c r="F353" s="219" t="s">
        <v>382</v>
      </c>
    </row>
    <row r="354" ht="22.5" customHeight="1">
      <c r="A354" s="19" t="s">
        <v>140</v>
      </c>
      <c r="B354" s="19" t="s">
        <v>70</v>
      </c>
      <c r="C354" s="56">
        <v>5000.0</v>
      </c>
      <c r="D354" s="205" t="s">
        <v>381</v>
      </c>
      <c r="E354" s="218" t="s">
        <v>373</v>
      </c>
      <c r="F354" s="219" t="s">
        <v>382</v>
      </c>
    </row>
    <row r="355" ht="22.5" customHeight="1">
      <c r="A355" s="19" t="s">
        <v>143</v>
      </c>
      <c r="B355" s="19" t="s">
        <v>144</v>
      </c>
      <c r="C355" s="56">
        <v>5000.0</v>
      </c>
      <c r="D355" s="205" t="s">
        <v>381</v>
      </c>
      <c r="E355" s="59" t="s">
        <v>327</v>
      </c>
      <c r="F355" s="60" t="s">
        <v>329</v>
      </c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C361" s="21">
        <v>46054.0</v>
      </c>
      <c r="D361" s="22"/>
      <c r="E361" s="166">
        <f>SUM(February_2026[Payment])</f>
        <v>260000</v>
      </c>
      <c r="F361" s="25"/>
    </row>
    <row r="362" ht="22.5" customHeight="1">
      <c r="A362" s="29" t="s">
        <v>29</v>
      </c>
      <c r="B362" s="29" t="s">
        <v>13</v>
      </c>
      <c r="C362" s="29" t="s">
        <v>34</v>
      </c>
      <c r="D362" s="33" t="s">
        <v>35</v>
      </c>
      <c r="E362" s="29" t="s">
        <v>38</v>
      </c>
      <c r="F362" s="29" t="s">
        <v>40</v>
      </c>
    </row>
    <row r="363" ht="22.5" customHeight="1">
      <c r="A363" s="19" t="s">
        <v>42</v>
      </c>
      <c r="B363" s="19" t="s">
        <v>44</v>
      </c>
      <c r="C363" s="56">
        <v>5000.0</v>
      </c>
      <c r="D363" s="59" t="s">
        <v>115</v>
      </c>
      <c r="E363" s="59" t="s">
        <v>470</v>
      </c>
      <c r="F363" s="59" t="s">
        <v>471</v>
      </c>
    </row>
    <row r="364" ht="22.5" customHeight="1">
      <c r="A364" s="19" t="s">
        <v>47</v>
      </c>
      <c r="B364" s="19" t="s">
        <v>44</v>
      </c>
      <c r="C364" s="56">
        <v>5000.0</v>
      </c>
      <c r="D364" s="59" t="s">
        <v>115</v>
      </c>
      <c r="E364" s="59" t="s">
        <v>470</v>
      </c>
      <c r="F364" s="59" t="s">
        <v>471</v>
      </c>
    </row>
    <row r="365" ht="22.5" customHeight="1">
      <c r="A365" s="19" t="s">
        <v>51</v>
      </c>
      <c r="B365" s="19" t="s">
        <v>44</v>
      </c>
      <c r="C365" s="56">
        <v>5000.0</v>
      </c>
      <c r="D365" s="225" t="s">
        <v>115</v>
      </c>
      <c r="E365" s="59" t="s">
        <v>470</v>
      </c>
      <c r="F365" s="59" t="s">
        <v>471</v>
      </c>
    </row>
    <row r="366" ht="22.5" customHeight="1">
      <c r="A366" s="19" t="s">
        <v>55</v>
      </c>
      <c r="B366" s="19" t="s">
        <v>23</v>
      </c>
      <c r="C366" s="56">
        <v>5000.0</v>
      </c>
      <c r="D366" s="59" t="s">
        <v>115</v>
      </c>
      <c r="E366" s="232" t="s">
        <v>472</v>
      </c>
      <c r="F366" s="59" t="s">
        <v>473</v>
      </c>
    </row>
    <row r="367" ht="22.5" customHeight="1">
      <c r="A367" s="19" t="s">
        <v>56</v>
      </c>
      <c r="B367" s="19" t="s">
        <v>23</v>
      </c>
      <c r="C367" s="56">
        <v>5000.0</v>
      </c>
      <c r="D367" s="59" t="s">
        <v>115</v>
      </c>
      <c r="E367" s="232" t="s">
        <v>472</v>
      </c>
      <c r="F367" s="59" t="s">
        <v>473</v>
      </c>
    </row>
    <row r="368" ht="22.5" customHeight="1">
      <c r="A368" s="19" t="s">
        <v>57</v>
      </c>
      <c r="B368" s="19" t="s">
        <v>58</v>
      </c>
      <c r="C368" s="56">
        <v>5000.0</v>
      </c>
      <c r="D368" s="225" t="s">
        <v>115</v>
      </c>
      <c r="E368" s="59" t="s">
        <v>472</v>
      </c>
      <c r="F368" s="215" t="s">
        <v>474</v>
      </c>
    </row>
    <row r="369" ht="22.5" customHeight="1">
      <c r="A369" s="19" t="s">
        <v>60</v>
      </c>
      <c r="B369" s="19" t="s">
        <v>58</v>
      </c>
      <c r="C369" s="56">
        <v>5000.0</v>
      </c>
      <c r="D369" s="225" t="s">
        <v>115</v>
      </c>
      <c r="E369" s="59" t="s">
        <v>472</v>
      </c>
      <c r="F369" s="215" t="s">
        <v>474</v>
      </c>
    </row>
    <row r="370" ht="22.5" customHeight="1">
      <c r="A370" s="19" t="s">
        <v>61</v>
      </c>
      <c r="B370" s="19" t="s">
        <v>62</v>
      </c>
      <c r="C370" s="56">
        <v>5000.0</v>
      </c>
      <c r="D370" s="59" t="s">
        <v>115</v>
      </c>
      <c r="E370" s="59" t="s">
        <v>475</v>
      </c>
      <c r="F370" s="59" t="s">
        <v>476</v>
      </c>
    </row>
    <row r="371" ht="22.5" customHeight="1">
      <c r="A371" s="19" t="s">
        <v>63</v>
      </c>
      <c r="B371" s="19" t="s">
        <v>62</v>
      </c>
      <c r="C371" s="56">
        <v>5000.0</v>
      </c>
      <c r="D371" s="59" t="s">
        <v>115</v>
      </c>
      <c r="E371" s="59" t="s">
        <v>475</v>
      </c>
      <c r="F371" s="59" t="s">
        <v>476</v>
      </c>
    </row>
    <row r="372" ht="22.5" customHeight="1">
      <c r="A372" s="19" t="s">
        <v>65</v>
      </c>
      <c r="B372" s="19" t="s">
        <v>62</v>
      </c>
      <c r="C372" s="56">
        <v>5000.0</v>
      </c>
      <c r="D372" s="225" t="s">
        <v>115</v>
      </c>
      <c r="E372" s="59" t="s">
        <v>475</v>
      </c>
      <c r="F372" s="59" t="s">
        <v>476</v>
      </c>
    </row>
    <row r="373" ht="22.5" customHeight="1">
      <c r="A373" s="19" t="s">
        <v>66</v>
      </c>
      <c r="B373" s="19" t="s">
        <v>62</v>
      </c>
      <c r="C373" s="56">
        <v>5000.0</v>
      </c>
      <c r="D373" s="225" t="s">
        <v>115</v>
      </c>
      <c r="E373" s="59" t="s">
        <v>475</v>
      </c>
      <c r="F373" s="59" t="s">
        <v>476</v>
      </c>
    </row>
    <row r="374" ht="22.5" customHeight="1">
      <c r="A374" s="19" t="s">
        <v>67</v>
      </c>
      <c r="B374" s="19" t="s">
        <v>68</v>
      </c>
      <c r="C374" s="56">
        <v>5000.0</v>
      </c>
      <c r="D374" s="59" t="s">
        <v>115</v>
      </c>
      <c r="E374" s="223" t="s">
        <v>477</v>
      </c>
      <c r="F374" s="59" t="s">
        <v>478</v>
      </c>
    </row>
    <row r="375" ht="22.5" customHeight="1">
      <c r="A375" s="19" t="s">
        <v>69</v>
      </c>
      <c r="B375" s="19" t="s">
        <v>70</v>
      </c>
      <c r="C375" s="56">
        <v>5000.0</v>
      </c>
      <c r="D375" s="59" t="s">
        <v>115</v>
      </c>
      <c r="E375" s="59" t="s">
        <v>472</v>
      </c>
      <c r="F375" s="59" t="s">
        <v>479</v>
      </c>
    </row>
    <row r="376" ht="22.5" customHeight="1">
      <c r="A376" s="19" t="s">
        <v>72</v>
      </c>
      <c r="B376" s="19" t="s">
        <v>70</v>
      </c>
      <c r="C376" s="56">
        <v>5000.0</v>
      </c>
      <c r="D376" s="59" t="s">
        <v>115</v>
      </c>
      <c r="E376" s="59" t="s">
        <v>472</v>
      </c>
      <c r="F376" s="59" t="s">
        <v>479</v>
      </c>
    </row>
    <row r="377" ht="22.5" customHeight="1">
      <c r="A377" s="19" t="s">
        <v>73</v>
      </c>
      <c r="B377" s="19" t="s">
        <v>70</v>
      </c>
      <c r="C377" s="56">
        <v>5000.0</v>
      </c>
      <c r="D377" s="233" t="s">
        <v>480</v>
      </c>
      <c r="E377" s="59" t="s">
        <v>481</v>
      </c>
      <c r="F377" s="215" t="s">
        <v>482</v>
      </c>
    </row>
    <row r="378" ht="22.5" customHeight="1">
      <c r="A378" s="19" t="s">
        <v>74</v>
      </c>
      <c r="B378" s="19" t="s">
        <v>37</v>
      </c>
      <c r="C378" s="56">
        <v>5000.0</v>
      </c>
      <c r="D378" s="59" t="s">
        <v>115</v>
      </c>
      <c r="E378" s="59" t="s">
        <v>472</v>
      </c>
      <c r="F378" s="59" t="s">
        <v>483</v>
      </c>
    </row>
    <row r="379" ht="22.5" customHeight="1">
      <c r="A379" s="19" t="s">
        <v>76</v>
      </c>
      <c r="B379" s="19" t="s">
        <v>37</v>
      </c>
      <c r="C379" s="56">
        <v>5000.0</v>
      </c>
      <c r="D379" s="59" t="s">
        <v>115</v>
      </c>
      <c r="E379" s="59" t="s">
        <v>472</v>
      </c>
      <c r="F379" s="59" t="s">
        <v>483</v>
      </c>
    </row>
    <row r="380" ht="22.5" customHeight="1">
      <c r="A380" s="19" t="s">
        <v>80</v>
      </c>
      <c r="B380" s="19" t="s">
        <v>81</v>
      </c>
      <c r="C380" s="56">
        <v>5000.0</v>
      </c>
      <c r="D380" s="59" t="s">
        <v>115</v>
      </c>
      <c r="E380" s="215" t="s">
        <v>484</v>
      </c>
      <c r="F380" s="59" t="s">
        <v>485</v>
      </c>
    </row>
    <row r="381" ht="22.5" customHeight="1">
      <c r="A381" s="19" t="s">
        <v>82</v>
      </c>
      <c r="B381" s="19" t="s">
        <v>37</v>
      </c>
      <c r="C381" s="56">
        <v>5000.0</v>
      </c>
      <c r="D381" s="59" t="s">
        <v>486</v>
      </c>
      <c r="E381" s="59" t="s">
        <v>487</v>
      </c>
      <c r="F381" s="59" t="s">
        <v>488</v>
      </c>
    </row>
    <row r="382" ht="22.5" customHeight="1">
      <c r="A382" s="19" t="s">
        <v>83</v>
      </c>
      <c r="B382" s="19" t="s">
        <v>84</v>
      </c>
      <c r="C382" s="56">
        <v>5000.0</v>
      </c>
      <c r="D382" s="59" t="s">
        <v>115</v>
      </c>
      <c r="E382" s="59" t="s">
        <v>472</v>
      </c>
      <c r="F382" s="59" t="s">
        <v>489</v>
      </c>
    </row>
    <row r="383" ht="22.5" customHeight="1">
      <c r="A383" s="19" t="s">
        <v>89</v>
      </c>
      <c r="B383" s="19" t="s">
        <v>84</v>
      </c>
      <c r="C383" s="56">
        <v>5000.0</v>
      </c>
      <c r="D383" s="59" t="s">
        <v>115</v>
      </c>
      <c r="E383" s="59" t="s">
        <v>472</v>
      </c>
      <c r="F383" s="59" t="s">
        <v>489</v>
      </c>
    </row>
    <row r="384" ht="22.5" customHeight="1">
      <c r="A384" s="19" t="s">
        <v>90</v>
      </c>
      <c r="B384" s="19" t="s">
        <v>84</v>
      </c>
      <c r="C384" s="56">
        <v>5000.0</v>
      </c>
      <c r="D384" s="59" t="s">
        <v>115</v>
      </c>
      <c r="E384" s="59" t="s">
        <v>472</v>
      </c>
      <c r="F384" s="59" t="s">
        <v>489</v>
      </c>
    </row>
    <row r="385" ht="22.5" customHeight="1">
      <c r="A385" s="19" t="s">
        <v>91</v>
      </c>
      <c r="B385" s="19" t="s">
        <v>92</v>
      </c>
      <c r="C385" s="56">
        <v>5000.0</v>
      </c>
      <c r="D385" s="59" t="s">
        <v>115</v>
      </c>
      <c r="E385" s="223" t="s">
        <v>477</v>
      </c>
      <c r="F385" s="59" t="s">
        <v>490</v>
      </c>
    </row>
    <row r="386" ht="22.5" customHeight="1">
      <c r="A386" s="19" t="s">
        <v>94</v>
      </c>
      <c r="B386" s="19" t="s">
        <v>92</v>
      </c>
      <c r="C386" s="56">
        <v>5000.0</v>
      </c>
      <c r="D386" s="59" t="s">
        <v>115</v>
      </c>
      <c r="E386" s="223" t="s">
        <v>477</v>
      </c>
      <c r="F386" s="59" t="s">
        <v>490</v>
      </c>
    </row>
    <row r="387" ht="22.5" customHeight="1">
      <c r="A387" s="19" t="s">
        <v>96</v>
      </c>
      <c r="B387" s="19" t="s">
        <v>92</v>
      </c>
      <c r="C387" s="56">
        <v>5000.0</v>
      </c>
      <c r="D387" s="59" t="s">
        <v>115</v>
      </c>
      <c r="E387" s="223" t="s">
        <v>477</v>
      </c>
      <c r="F387" s="59" t="s">
        <v>490</v>
      </c>
    </row>
    <row r="388" ht="22.5" customHeight="1">
      <c r="A388" s="19" t="s">
        <v>97</v>
      </c>
      <c r="B388" s="19" t="s">
        <v>46</v>
      </c>
      <c r="C388" s="56">
        <v>5000.0</v>
      </c>
      <c r="D388" s="59" t="s">
        <v>115</v>
      </c>
      <c r="E388" s="59" t="s">
        <v>472</v>
      </c>
      <c r="F388" s="215" t="s">
        <v>491</v>
      </c>
    </row>
    <row r="389" ht="22.5" customHeight="1">
      <c r="A389" s="19" t="s">
        <v>98</v>
      </c>
      <c r="B389" s="19" t="s">
        <v>46</v>
      </c>
      <c r="C389" s="56">
        <v>5000.0</v>
      </c>
      <c r="D389" s="59" t="s">
        <v>115</v>
      </c>
      <c r="E389" s="59" t="s">
        <v>472</v>
      </c>
      <c r="F389" s="215" t="s">
        <v>491</v>
      </c>
    </row>
    <row r="390" ht="22.5" customHeight="1">
      <c r="A390" s="19" t="s">
        <v>99</v>
      </c>
      <c r="B390" s="19" t="s">
        <v>77</v>
      </c>
      <c r="C390" s="56">
        <v>5000.0</v>
      </c>
      <c r="D390" s="59" t="s">
        <v>115</v>
      </c>
      <c r="E390" s="59" t="s">
        <v>477</v>
      </c>
      <c r="F390" s="70" t="s">
        <v>492</v>
      </c>
    </row>
    <row r="391" ht="22.5" customHeight="1">
      <c r="A391" s="19" t="s">
        <v>101</v>
      </c>
      <c r="B391" s="19" t="s">
        <v>102</v>
      </c>
      <c r="C391" s="56">
        <v>5000.0</v>
      </c>
      <c r="D391" s="59" t="s">
        <v>115</v>
      </c>
      <c r="E391" s="59" t="s">
        <v>472</v>
      </c>
      <c r="F391" s="230" t="s">
        <v>493</v>
      </c>
    </row>
    <row r="392" ht="22.5" customHeight="1">
      <c r="A392" s="19" t="s">
        <v>103</v>
      </c>
      <c r="B392" s="19" t="s">
        <v>77</v>
      </c>
      <c r="C392" s="56">
        <v>5000.0</v>
      </c>
      <c r="D392" s="59" t="s">
        <v>115</v>
      </c>
      <c r="E392" s="59" t="s">
        <v>470</v>
      </c>
      <c r="F392" s="59" t="s">
        <v>494</v>
      </c>
    </row>
    <row r="393" ht="22.5" customHeight="1">
      <c r="A393" s="19" t="s">
        <v>105</v>
      </c>
      <c r="B393" s="19" t="s">
        <v>106</v>
      </c>
      <c r="C393" s="56">
        <v>5000.0</v>
      </c>
      <c r="D393" s="59" t="s">
        <v>115</v>
      </c>
      <c r="E393" s="59" t="s">
        <v>470</v>
      </c>
      <c r="F393" s="59" t="s">
        <v>495</v>
      </c>
    </row>
    <row r="394" ht="22.5" customHeight="1">
      <c r="A394" s="19" t="s">
        <v>107</v>
      </c>
      <c r="B394" s="19" t="s">
        <v>108</v>
      </c>
      <c r="C394" s="18">
        <v>5000.0</v>
      </c>
      <c r="D394" s="225" t="s">
        <v>115</v>
      </c>
      <c r="E394" s="225" t="s">
        <v>496</v>
      </c>
      <c r="F394" s="225" t="s">
        <v>497</v>
      </c>
    </row>
    <row r="395" ht="22.5" customHeight="1">
      <c r="A395" s="19" t="s">
        <v>109</v>
      </c>
      <c r="B395" s="19" t="s">
        <v>77</v>
      </c>
      <c r="C395" s="18">
        <v>5000.0</v>
      </c>
      <c r="D395" s="205" t="s">
        <v>381</v>
      </c>
      <c r="E395" s="223" t="s">
        <v>498</v>
      </c>
      <c r="F395" s="223" t="s">
        <v>499</v>
      </c>
    </row>
    <row r="396" ht="22.5" customHeight="1">
      <c r="A396" s="19" t="s">
        <v>110</v>
      </c>
      <c r="B396" s="70" t="s">
        <v>77</v>
      </c>
      <c r="C396" s="27">
        <v>5000.0</v>
      </c>
      <c r="D396" s="223" t="s">
        <v>486</v>
      </c>
      <c r="E396" s="223" t="s">
        <v>477</v>
      </c>
      <c r="F396" s="70" t="s">
        <v>500</v>
      </c>
    </row>
    <row r="397" ht="22.5" customHeight="1">
      <c r="A397" s="19" t="s">
        <v>111</v>
      </c>
      <c r="B397" s="70" t="s">
        <v>113</v>
      </c>
      <c r="C397" s="18">
        <v>5000.0</v>
      </c>
      <c r="D397" s="205" t="s">
        <v>381</v>
      </c>
      <c r="E397" s="223" t="s">
        <v>501</v>
      </c>
      <c r="F397" s="223" t="s">
        <v>502</v>
      </c>
    </row>
    <row r="398" ht="22.5" customHeight="1">
      <c r="A398" s="19" t="s">
        <v>119</v>
      </c>
      <c r="B398" s="70" t="s">
        <v>120</v>
      </c>
      <c r="C398" s="27">
        <v>5000.0</v>
      </c>
      <c r="D398" s="225" t="s">
        <v>115</v>
      </c>
      <c r="E398" s="223" t="s">
        <v>477</v>
      </c>
      <c r="F398" s="70" t="s">
        <v>503</v>
      </c>
    </row>
    <row r="399" ht="22.5" customHeight="1">
      <c r="A399" s="19" t="s">
        <v>121</v>
      </c>
      <c r="B399" s="70" t="s">
        <v>120</v>
      </c>
      <c r="C399" s="27">
        <v>5000.0</v>
      </c>
      <c r="D399" s="205" t="s">
        <v>381</v>
      </c>
      <c r="E399" s="223" t="s">
        <v>504</v>
      </c>
      <c r="F399" s="223" t="s">
        <v>505</v>
      </c>
    </row>
    <row r="400" ht="22.5" customHeight="1">
      <c r="A400" s="19" t="s">
        <v>123</v>
      </c>
      <c r="B400" s="70" t="s">
        <v>120</v>
      </c>
      <c r="C400" s="27">
        <v>5000.0</v>
      </c>
      <c r="D400" s="205" t="s">
        <v>381</v>
      </c>
      <c r="E400" s="223" t="s">
        <v>504</v>
      </c>
      <c r="F400" s="223" t="s">
        <v>506</v>
      </c>
    </row>
    <row r="401" ht="22.5" customHeight="1">
      <c r="A401" s="19" t="s">
        <v>124</v>
      </c>
      <c r="B401" s="70" t="s">
        <v>120</v>
      </c>
      <c r="C401" s="27">
        <v>5000.0</v>
      </c>
      <c r="D401" s="205" t="s">
        <v>274</v>
      </c>
      <c r="E401" s="223" t="s">
        <v>435</v>
      </c>
      <c r="F401" s="223" t="s">
        <v>436</v>
      </c>
    </row>
    <row r="402" ht="22.5" customHeight="1">
      <c r="A402" s="19" t="s">
        <v>126</v>
      </c>
      <c r="B402" s="19" t="s">
        <v>58</v>
      </c>
      <c r="C402" s="27">
        <v>5000.0</v>
      </c>
      <c r="D402" s="225" t="s">
        <v>115</v>
      </c>
      <c r="E402" s="223" t="s">
        <v>507</v>
      </c>
      <c r="F402" s="70" t="s">
        <v>508</v>
      </c>
    </row>
    <row r="403" ht="22.5" customHeight="1">
      <c r="A403" s="19" t="s">
        <v>127</v>
      </c>
      <c r="B403" s="19" t="s">
        <v>58</v>
      </c>
      <c r="C403" s="27">
        <v>5000.0</v>
      </c>
      <c r="D403" s="225" t="s">
        <v>115</v>
      </c>
      <c r="E403" s="223" t="s">
        <v>507</v>
      </c>
      <c r="F403" s="70" t="s">
        <v>508</v>
      </c>
    </row>
    <row r="404" ht="22.5" customHeight="1">
      <c r="A404" s="19" t="s">
        <v>128</v>
      </c>
      <c r="B404" s="19" t="s">
        <v>62</v>
      </c>
      <c r="C404" s="56">
        <v>5000.0</v>
      </c>
      <c r="D404" s="205" t="s">
        <v>381</v>
      </c>
      <c r="E404" s="59" t="s">
        <v>440</v>
      </c>
      <c r="F404" s="223" t="s">
        <v>466</v>
      </c>
    </row>
    <row r="405" ht="22.5" customHeight="1">
      <c r="A405" s="19" t="s">
        <v>129</v>
      </c>
      <c r="B405" s="19" t="s">
        <v>92</v>
      </c>
      <c r="C405" s="27"/>
      <c r="D405" s="225"/>
      <c r="E405" s="223"/>
      <c r="F405" s="223"/>
    </row>
    <row r="406" ht="22.5" customHeight="1">
      <c r="A406" s="19" t="s">
        <v>130</v>
      </c>
      <c r="B406" s="19" t="s">
        <v>23</v>
      </c>
      <c r="C406" s="18">
        <v>5000.0</v>
      </c>
      <c r="D406" s="225" t="s">
        <v>115</v>
      </c>
      <c r="E406" s="223" t="s">
        <v>475</v>
      </c>
      <c r="F406" s="223" t="s">
        <v>509</v>
      </c>
    </row>
    <row r="407" ht="22.5" customHeight="1">
      <c r="A407" s="19" t="s">
        <v>132</v>
      </c>
      <c r="B407" s="19" t="s">
        <v>23</v>
      </c>
      <c r="C407" s="27">
        <v>5000.0</v>
      </c>
      <c r="D407" s="205" t="s">
        <v>381</v>
      </c>
      <c r="E407" s="223" t="s">
        <v>451</v>
      </c>
      <c r="F407" s="223" t="s">
        <v>510</v>
      </c>
    </row>
    <row r="408" ht="22.5" customHeight="1">
      <c r="A408" s="19" t="s">
        <v>133</v>
      </c>
      <c r="B408" s="19" t="s">
        <v>77</v>
      </c>
      <c r="C408" s="56">
        <v>5000.0</v>
      </c>
      <c r="D408" s="205" t="s">
        <v>381</v>
      </c>
      <c r="E408" s="223" t="s">
        <v>459</v>
      </c>
      <c r="F408" s="59" t="s">
        <v>460</v>
      </c>
    </row>
    <row r="409" ht="22.5" customHeight="1">
      <c r="A409" s="19" t="s">
        <v>134</v>
      </c>
      <c r="B409" s="19" t="s">
        <v>70</v>
      </c>
      <c r="C409" s="56">
        <v>5000.0</v>
      </c>
      <c r="D409" s="205" t="s">
        <v>381</v>
      </c>
      <c r="E409" s="59" t="s">
        <v>419</v>
      </c>
      <c r="F409" s="59" t="s">
        <v>420</v>
      </c>
    </row>
    <row r="410" ht="22.5" customHeight="1">
      <c r="A410" s="19" t="s">
        <v>136</v>
      </c>
      <c r="B410" s="19" t="s">
        <v>70</v>
      </c>
      <c r="C410" s="56">
        <v>5000.0</v>
      </c>
      <c r="D410" s="234" t="s">
        <v>381</v>
      </c>
      <c r="E410" s="223" t="s">
        <v>451</v>
      </c>
      <c r="F410" s="59" t="s">
        <v>469</v>
      </c>
    </row>
    <row r="411" ht="22.5" customHeight="1">
      <c r="A411" s="19" t="s">
        <v>137</v>
      </c>
      <c r="B411" s="19" t="s">
        <v>70</v>
      </c>
      <c r="C411" s="56">
        <v>5000.0</v>
      </c>
      <c r="D411" s="205" t="s">
        <v>381</v>
      </c>
      <c r="E411" s="223" t="s">
        <v>511</v>
      </c>
      <c r="F411" s="223" t="s">
        <v>512</v>
      </c>
    </row>
    <row r="412" ht="22.5" customHeight="1">
      <c r="A412" s="19" t="s">
        <v>138</v>
      </c>
      <c r="B412" s="19" t="s">
        <v>70</v>
      </c>
      <c r="C412" s="56">
        <v>5000.0</v>
      </c>
      <c r="D412" s="205" t="s">
        <v>381</v>
      </c>
      <c r="E412" s="218" t="s">
        <v>373</v>
      </c>
      <c r="F412" s="219" t="s">
        <v>382</v>
      </c>
    </row>
    <row r="413" ht="22.5" customHeight="1">
      <c r="A413" s="19" t="s">
        <v>139</v>
      </c>
      <c r="B413" s="19" t="s">
        <v>70</v>
      </c>
      <c r="C413" s="56">
        <v>5000.0</v>
      </c>
      <c r="D413" s="205" t="s">
        <v>381</v>
      </c>
      <c r="E413" s="218" t="s">
        <v>373</v>
      </c>
      <c r="F413" s="219" t="s">
        <v>382</v>
      </c>
    </row>
    <row r="414" ht="22.5" customHeight="1">
      <c r="A414" s="19" t="s">
        <v>140</v>
      </c>
      <c r="B414" s="19" t="s">
        <v>70</v>
      </c>
      <c r="C414" s="56">
        <v>5000.0</v>
      </c>
      <c r="D414" s="205" t="s">
        <v>381</v>
      </c>
      <c r="E414" s="218" t="s">
        <v>373</v>
      </c>
      <c r="F414" s="219" t="s">
        <v>382</v>
      </c>
    </row>
    <row r="415" ht="22.5" customHeight="1">
      <c r="A415" s="19" t="s">
        <v>143</v>
      </c>
      <c r="B415" s="19" t="s">
        <v>144</v>
      </c>
      <c r="C415" s="56">
        <v>5000.0</v>
      </c>
      <c r="D415" s="205" t="s">
        <v>381</v>
      </c>
      <c r="E415" s="59" t="s">
        <v>327</v>
      </c>
      <c r="F415" s="60" t="s">
        <v>329</v>
      </c>
    </row>
    <row r="416">
      <c r="F416" s="25"/>
    </row>
    <row r="417">
      <c r="F417" s="25"/>
    </row>
    <row r="418">
      <c r="F418" s="25"/>
    </row>
    <row r="419">
      <c r="F419" s="25"/>
    </row>
    <row r="420">
      <c r="A420" s="235"/>
      <c r="B420" s="235"/>
      <c r="C420" s="236">
        <v>46023.0</v>
      </c>
      <c r="D420" s="237"/>
      <c r="E420" s="238">
        <f>SUM(January_2026[Payment])</f>
        <v>260000</v>
      </c>
      <c r="F420" s="235"/>
    </row>
    <row r="421" ht="22.5" customHeight="1">
      <c r="A421" s="29" t="s">
        <v>29</v>
      </c>
      <c r="B421" s="29" t="s">
        <v>13</v>
      </c>
      <c r="C421" s="29" t="s">
        <v>34</v>
      </c>
      <c r="D421" s="33" t="s">
        <v>35</v>
      </c>
      <c r="E421" s="29" t="s">
        <v>38</v>
      </c>
      <c r="F421" s="29" t="s">
        <v>40</v>
      </c>
    </row>
    <row r="422" ht="22.5" customHeight="1">
      <c r="A422" s="19" t="s">
        <v>42</v>
      </c>
      <c r="B422" s="19" t="s">
        <v>44</v>
      </c>
      <c r="C422" s="18">
        <v>5000.0</v>
      </c>
      <c r="D422" s="225" t="s">
        <v>115</v>
      </c>
      <c r="E422" s="225" t="s">
        <v>513</v>
      </c>
      <c r="F422" s="19" t="s">
        <v>514</v>
      </c>
    </row>
    <row r="423" ht="22.5" customHeight="1">
      <c r="A423" s="19" t="s">
        <v>47</v>
      </c>
      <c r="B423" s="19" t="s">
        <v>44</v>
      </c>
      <c r="C423" s="18">
        <v>5000.0</v>
      </c>
      <c r="D423" s="225" t="s">
        <v>115</v>
      </c>
      <c r="E423" s="225" t="s">
        <v>513</v>
      </c>
      <c r="F423" s="19" t="s">
        <v>514</v>
      </c>
    </row>
    <row r="424" ht="22.5" customHeight="1">
      <c r="A424" s="19" t="s">
        <v>51</v>
      </c>
      <c r="B424" s="19" t="s">
        <v>44</v>
      </c>
      <c r="C424" s="71">
        <v>5000.0</v>
      </c>
      <c r="D424" s="225" t="s">
        <v>115</v>
      </c>
      <c r="E424" s="225" t="s">
        <v>481</v>
      </c>
      <c r="F424" s="19" t="s">
        <v>515</v>
      </c>
    </row>
    <row r="425" ht="22.5" customHeight="1">
      <c r="A425" s="19" t="s">
        <v>55</v>
      </c>
      <c r="B425" s="19" t="s">
        <v>23</v>
      </c>
      <c r="C425" s="18">
        <v>5000.0</v>
      </c>
      <c r="D425" s="225" t="s">
        <v>115</v>
      </c>
      <c r="E425" s="239" t="s">
        <v>516</v>
      </c>
      <c r="F425" s="19" t="s">
        <v>517</v>
      </c>
    </row>
    <row r="426" ht="22.5" customHeight="1">
      <c r="A426" s="19" t="s">
        <v>56</v>
      </c>
      <c r="B426" s="19" t="s">
        <v>23</v>
      </c>
      <c r="C426" s="18">
        <v>5000.0</v>
      </c>
      <c r="D426" s="225" t="s">
        <v>115</v>
      </c>
      <c r="E426" s="239" t="s">
        <v>516</v>
      </c>
      <c r="F426" s="19" t="s">
        <v>517</v>
      </c>
    </row>
    <row r="427" ht="22.5" customHeight="1">
      <c r="A427" s="19" t="s">
        <v>57</v>
      </c>
      <c r="B427" s="19" t="s">
        <v>58</v>
      </c>
      <c r="C427" s="18">
        <v>5000.0</v>
      </c>
      <c r="D427" s="225" t="s">
        <v>115</v>
      </c>
      <c r="E427" s="225" t="s">
        <v>513</v>
      </c>
      <c r="F427" s="19" t="s">
        <v>518</v>
      </c>
    </row>
    <row r="428" ht="22.5" customHeight="1">
      <c r="A428" s="19" t="s">
        <v>60</v>
      </c>
      <c r="B428" s="19" t="s">
        <v>58</v>
      </c>
      <c r="C428" s="18">
        <v>5000.0</v>
      </c>
      <c r="D428" s="225" t="s">
        <v>115</v>
      </c>
      <c r="E428" s="225" t="s">
        <v>513</v>
      </c>
      <c r="F428" s="19" t="s">
        <v>518</v>
      </c>
    </row>
    <row r="429" ht="22.5" customHeight="1">
      <c r="A429" s="19" t="s">
        <v>61</v>
      </c>
      <c r="B429" s="19" t="s">
        <v>62</v>
      </c>
      <c r="C429" s="18">
        <v>5000.0</v>
      </c>
      <c r="D429" s="225" t="s">
        <v>115</v>
      </c>
      <c r="E429" s="225" t="s">
        <v>513</v>
      </c>
      <c r="F429" s="19" t="s">
        <v>519</v>
      </c>
    </row>
    <row r="430" ht="22.5" customHeight="1">
      <c r="A430" s="19" t="s">
        <v>63</v>
      </c>
      <c r="B430" s="19" t="s">
        <v>62</v>
      </c>
      <c r="C430" s="18">
        <v>5000.0</v>
      </c>
      <c r="D430" s="225" t="s">
        <v>115</v>
      </c>
      <c r="E430" s="225" t="s">
        <v>520</v>
      </c>
      <c r="F430" s="19" t="s">
        <v>521</v>
      </c>
    </row>
    <row r="431" ht="22.5" customHeight="1">
      <c r="A431" s="19" t="s">
        <v>65</v>
      </c>
      <c r="B431" s="19" t="s">
        <v>62</v>
      </c>
      <c r="C431" s="18">
        <v>5000.0</v>
      </c>
      <c r="D431" s="225" t="s">
        <v>115</v>
      </c>
      <c r="E431" s="19" t="s">
        <v>522</v>
      </c>
      <c r="F431" s="19" t="s">
        <v>523</v>
      </c>
    </row>
    <row r="432" ht="22.5" customHeight="1">
      <c r="A432" s="19" t="s">
        <v>66</v>
      </c>
      <c r="B432" s="19" t="s">
        <v>62</v>
      </c>
      <c r="C432" s="18">
        <v>5000.0</v>
      </c>
      <c r="D432" s="205" t="s">
        <v>381</v>
      </c>
      <c r="E432" s="225" t="s">
        <v>496</v>
      </c>
      <c r="F432" s="19" t="s">
        <v>524</v>
      </c>
    </row>
    <row r="433" ht="22.5" customHeight="1">
      <c r="A433" s="19" t="s">
        <v>67</v>
      </c>
      <c r="B433" s="19" t="s">
        <v>68</v>
      </c>
      <c r="C433" s="18">
        <v>5000.0</v>
      </c>
      <c r="D433" s="225" t="s">
        <v>115</v>
      </c>
      <c r="E433" s="225" t="s">
        <v>513</v>
      </c>
      <c r="F433" s="19" t="s">
        <v>525</v>
      </c>
    </row>
    <row r="434" ht="22.5" customHeight="1">
      <c r="A434" s="19" t="s">
        <v>69</v>
      </c>
      <c r="B434" s="19" t="s">
        <v>70</v>
      </c>
      <c r="C434" s="18">
        <v>5000.0</v>
      </c>
      <c r="D434" s="225" t="s">
        <v>115</v>
      </c>
      <c r="E434" s="225" t="s">
        <v>513</v>
      </c>
      <c r="F434" s="19" t="s">
        <v>526</v>
      </c>
    </row>
    <row r="435" ht="22.5" customHeight="1">
      <c r="A435" s="19" t="s">
        <v>72</v>
      </c>
      <c r="B435" s="19" t="s">
        <v>70</v>
      </c>
      <c r="C435" s="18">
        <v>5000.0</v>
      </c>
      <c r="D435" s="225" t="s">
        <v>115</v>
      </c>
      <c r="E435" s="225" t="s">
        <v>516</v>
      </c>
      <c r="F435" s="19" t="s">
        <v>527</v>
      </c>
    </row>
    <row r="436" ht="22.5" customHeight="1">
      <c r="A436" s="19" t="s">
        <v>73</v>
      </c>
      <c r="B436" s="19" t="s">
        <v>70</v>
      </c>
      <c r="C436" s="18">
        <v>5000.0</v>
      </c>
      <c r="D436" s="225" t="s">
        <v>115</v>
      </c>
      <c r="E436" s="225" t="s">
        <v>481</v>
      </c>
      <c r="F436" s="19" t="s">
        <v>482</v>
      </c>
    </row>
    <row r="437" ht="22.5" customHeight="1">
      <c r="A437" s="19" t="s">
        <v>74</v>
      </c>
      <c r="B437" s="19" t="s">
        <v>37</v>
      </c>
      <c r="C437" s="18">
        <v>5000.0</v>
      </c>
      <c r="D437" s="225" t="s">
        <v>115</v>
      </c>
      <c r="E437" s="225" t="s">
        <v>513</v>
      </c>
      <c r="F437" s="19" t="s">
        <v>223</v>
      </c>
    </row>
    <row r="438" ht="22.5" customHeight="1">
      <c r="A438" s="19" t="s">
        <v>76</v>
      </c>
      <c r="B438" s="19" t="s">
        <v>37</v>
      </c>
      <c r="C438" s="18">
        <v>5000.0</v>
      </c>
      <c r="D438" s="225" t="s">
        <v>115</v>
      </c>
      <c r="E438" s="225" t="s">
        <v>513</v>
      </c>
      <c r="F438" s="19" t="s">
        <v>223</v>
      </c>
    </row>
    <row r="439" ht="22.5" customHeight="1">
      <c r="A439" s="19" t="s">
        <v>80</v>
      </c>
      <c r="B439" s="19" t="s">
        <v>37</v>
      </c>
      <c r="C439" s="18">
        <v>5000.0</v>
      </c>
      <c r="D439" s="225" t="s">
        <v>115</v>
      </c>
      <c r="E439" s="225" t="s">
        <v>513</v>
      </c>
      <c r="F439" s="19" t="s">
        <v>223</v>
      </c>
    </row>
    <row r="440" ht="22.5" customHeight="1">
      <c r="A440" s="19" t="s">
        <v>82</v>
      </c>
      <c r="B440" s="19" t="s">
        <v>37</v>
      </c>
      <c r="C440" s="18">
        <v>5000.0</v>
      </c>
      <c r="D440" s="225" t="s">
        <v>115</v>
      </c>
      <c r="E440" s="19" t="s">
        <v>528</v>
      </c>
      <c r="F440" s="19" t="s">
        <v>529</v>
      </c>
    </row>
    <row r="441" ht="22.5" customHeight="1">
      <c r="A441" s="19" t="s">
        <v>83</v>
      </c>
      <c r="B441" s="19" t="s">
        <v>84</v>
      </c>
      <c r="C441" s="18">
        <v>5000.0</v>
      </c>
      <c r="D441" s="225" t="s">
        <v>115</v>
      </c>
      <c r="E441" s="225" t="s">
        <v>530</v>
      </c>
      <c r="F441" s="19" t="s">
        <v>223</v>
      </c>
    </row>
    <row r="442" ht="22.5" customHeight="1">
      <c r="A442" s="19" t="s">
        <v>89</v>
      </c>
      <c r="B442" s="19" t="s">
        <v>84</v>
      </c>
      <c r="C442" s="18">
        <v>5000.0</v>
      </c>
      <c r="D442" s="225" t="s">
        <v>115</v>
      </c>
      <c r="E442" s="225" t="s">
        <v>530</v>
      </c>
      <c r="F442" s="19" t="s">
        <v>223</v>
      </c>
    </row>
    <row r="443" ht="22.5" customHeight="1">
      <c r="A443" s="19" t="s">
        <v>90</v>
      </c>
      <c r="B443" s="19" t="s">
        <v>84</v>
      </c>
      <c r="C443" s="18">
        <v>5000.0</v>
      </c>
      <c r="D443" s="225" t="s">
        <v>115</v>
      </c>
      <c r="E443" s="225" t="s">
        <v>530</v>
      </c>
      <c r="F443" s="19" t="s">
        <v>223</v>
      </c>
    </row>
    <row r="444" ht="22.5" customHeight="1">
      <c r="A444" s="19" t="s">
        <v>91</v>
      </c>
      <c r="B444" s="19" t="s">
        <v>92</v>
      </c>
      <c r="C444" s="18">
        <v>5000.0</v>
      </c>
      <c r="D444" s="225" t="s">
        <v>115</v>
      </c>
      <c r="E444" s="225" t="s">
        <v>530</v>
      </c>
      <c r="F444" s="19" t="s">
        <v>223</v>
      </c>
    </row>
    <row r="445" ht="22.5" customHeight="1">
      <c r="A445" s="19" t="s">
        <v>94</v>
      </c>
      <c r="B445" s="19" t="s">
        <v>92</v>
      </c>
      <c r="C445" s="18">
        <v>5000.0</v>
      </c>
      <c r="D445" s="225" t="s">
        <v>115</v>
      </c>
      <c r="E445" s="225" t="s">
        <v>530</v>
      </c>
      <c r="F445" s="19" t="s">
        <v>223</v>
      </c>
    </row>
    <row r="446" ht="22.5" customHeight="1">
      <c r="A446" s="19" t="s">
        <v>96</v>
      </c>
      <c r="B446" s="19" t="s">
        <v>92</v>
      </c>
      <c r="C446" s="18">
        <v>5000.0</v>
      </c>
      <c r="D446" s="225" t="s">
        <v>115</v>
      </c>
      <c r="E446" s="225" t="s">
        <v>530</v>
      </c>
      <c r="F446" s="19" t="s">
        <v>223</v>
      </c>
    </row>
    <row r="447" ht="22.5" customHeight="1">
      <c r="A447" s="19" t="s">
        <v>97</v>
      </c>
      <c r="B447" s="19" t="s">
        <v>46</v>
      </c>
      <c r="C447" s="18">
        <v>5000.0</v>
      </c>
      <c r="D447" s="225" t="s">
        <v>115</v>
      </c>
      <c r="E447" s="225" t="s">
        <v>530</v>
      </c>
      <c r="F447" s="19" t="s">
        <v>531</v>
      </c>
    </row>
    <row r="448" ht="22.5" customHeight="1">
      <c r="A448" s="19" t="s">
        <v>98</v>
      </c>
      <c r="B448" s="19" t="s">
        <v>46</v>
      </c>
      <c r="C448" s="18">
        <v>5000.0</v>
      </c>
      <c r="D448" s="225" t="s">
        <v>115</v>
      </c>
      <c r="E448" s="225" t="s">
        <v>530</v>
      </c>
      <c r="F448" s="19" t="s">
        <v>531</v>
      </c>
    </row>
    <row r="449" ht="22.5" customHeight="1">
      <c r="A449" s="19" t="s">
        <v>99</v>
      </c>
      <c r="B449" s="19" t="s">
        <v>77</v>
      </c>
      <c r="C449" s="18">
        <v>5000.0</v>
      </c>
      <c r="D449" s="225" t="s">
        <v>115</v>
      </c>
      <c r="E449" s="225" t="s">
        <v>530</v>
      </c>
      <c r="F449" s="19" t="s">
        <v>223</v>
      </c>
    </row>
    <row r="450" ht="22.5" customHeight="1">
      <c r="A450" s="19" t="s">
        <v>101</v>
      </c>
      <c r="B450" s="19" t="s">
        <v>102</v>
      </c>
      <c r="C450" s="18">
        <v>5000.0</v>
      </c>
      <c r="D450" s="225" t="s">
        <v>115</v>
      </c>
      <c r="E450" s="225" t="s">
        <v>530</v>
      </c>
      <c r="F450" s="19" t="s">
        <v>532</v>
      </c>
    </row>
    <row r="451" ht="22.5" customHeight="1">
      <c r="A451" s="19" t="s">
        <v>103</v>
      </c>
      <c r="B451" s="19" t="s">
        <v>77</v>
      </c>
      <c r="C451" s="18">
        <v>5000.0</v>
      </c>
      <c r="D451" s="225" t="s">
        <v>115</v>
      </c>
      <c r="E451" s="225" t="s">
        <v>533</v>
      </c>
      <c r="F451" s="19" t="s">
        <v>534</v>
      </c>
    </row>
    <row r="452" ht="22.5" customHeight="1">
      <c r="A452" s="19" t="s">
        <v>105</v>
      </c>
      <c r="B452" s="19" t="s">
        <v>106</v>
      </c>
      <c r="C452" s="18">
        <v>5000.0</v>
      </c>
      <c r="D452" s="225" t="s">
        <v>115</v>
      </c>
      <c r="E452" s="225" t="s">
        <v>535</v>
      </c>
      <c r="F452" s="19" t="s">
        <v>536</v>
      </c>
    </row>
    <row r="453" ht="22.5" customHeight="1">
      <c r="A453" s="19" t="s">
        <v>107</v>
      </c>
      <c r="B453" s="19" t="s">
        <v>108</v>
      </c>
      <c r="C453" s="18">
        <v>5000.0</v>
      </c>
      <c r="D453" s="205" t="s">
        <v>381</v>
      </c>
      <c r="E453" s="225" t="s">
        <v>496</v>
      </c>
      <c r="F453" s="19">
        <v>2.600007266E9</v>
      </c>
    </row>
    <row r="454" ht="22.5" customHeight="1">
      <c r="A454" s="19" t="s">
        <v>109</v>
      </c>
      <c r="B454" s="19" t="s">
        <v>77</v>
      </c>
      <c r="C454" s="18">
        <v>5000.0</v>
      </c>
      <c r="D454" s="205" t="s">
        <v>381</v>
      </c>
      <c r="E454" s="223" t="s">
        <v>477</v>
      </c>
      <c r="F454" s="70" t="s">
        <v>537</v>
      </c>
    </row>
    <row r="455" ht="22.5" customHeight="1">
      <c r="A455" s="19" t="s">
        <v>110</v>
      </c>
      <c r="B455" s="70" t="s">
        <v>77</v>
      </c>
      <c r="C455" s="27">
        <v>5000.0</v>
      </c>
      <c r="D455" s="240" t="s">
        <v>381</v>
      </c>
      <c r="E455" s="223" t="s">
        <v>477</v>
      </c>
      <c r="F455" s="70" t="s">
        <v>500</v>
      </c>
    </row>
    <row r="456" ht="22.5" customHeight="1">
      <c r="A456" s="19" t="s">
        <v>111</v>
      </c>
      <c r="B456" s="70" t="s">
        <v>113</v>
      </c>
      <c r="C456" s="27">
        <v>5000.0</v>
      </c>
      <c r="D456" s="205" t="s">
        <v>381</v>
      </c>
      <c r="E456" s="223" t="s">
        <v>477</v>
      </c>
      <c r="F456" s="70" t="s">
        <v>538</v>
      </c>
    </row>
    <row r="457" ht="22.5" customHeight="1">
      <c r="A457" s="19" t="s">
        <v>119</v>
      </c>
      <c r="B457" s="70" t="s">
        <v>120</v>
      </c>
      <c r="C457" s="27">
        <v>5000.0</v>
      </c>
      <c r="D457" s="205" t="s">
        <v>381</v>
      </c>
      <c r="E457" s="223" t="s">
        <v>477</v>
      </c>
      <c r="F457" s="70" t="s">
        <v>503</v>
      </c>
    </row>
    <row r="458" ht="22.5" customHeight="1">
      <c r="A458" s="19" t="s">
        <v>121</v>
      </c>
      <c r="B458" s="70" t="s">
        <v>120</v>
      </c>
      <c r="C458" s="27">
        <v>5000.0</v>
      </c>
      <c r="D458" s="205" t="s">
        <v>381</v>
      </c>
      <c r="E458" s="223" t="s">
        <v>504</v>
      </c>
      <c r="F458" s="223" t="s">
        <v>505</v>
      </c>
    </row>
    <row r="459" ht="22.5" customHeight="1">
      <c r="A459" s="19" t="s">
        <v>123</v>
      </c>
      <c r="B459" s="70" t="s">
        <v>120</v>
      </c>
      <c r="C459" s="27">
        <v>5000.0</v>
      </c>
      <c r="D459" s="205" t="s">
        <v>381</v>
      </c>
      <c r="E459" s="223" t="s">
        <v>504</v>
      </c>
      <c r="F459" s="223" t="s">
        <v>506</v>
      </c>
    </row>
    <row r="460" ht="22.5" customHeight="1">
      <c r="A460" s="19" t="s">
        <v>124</v>
      </c>
      <c r="B460" s="70" t="s">
        <v>120</v>
      </c>
      <c r="C460" s="27">
        <v>5000.0</v>
      </c>
      <c r="D460" s="205" t="s">
        <v>274</v>
      </c>
      <c r="E460" s="223" t="s">
        <v>435</v>
      </c>
      <c r="F460" s="223" t="s">
        <v>436</v>
      </c>
    </row>
    <row r="461" ht="22.5" customHeight="1">
      <c r="A461" s="19" t="s">
        <v>126</v>
      </c>
      <c r="B461" s="19" t="s">
        <v>58</v>
      </c>
      <c r="C461" s="27">
        <v>5000.0</v>
      </c>
      <c r="D461" s="205" t="s">
        <v>381</v>
      </c>
      <c r="E461" s="223" t="s">
        <v>507</v>
      </c>
      <c r="F461" s="70" t="s">
        <v>508</v>
      </c>
    </row>
    <row r="462" ht="22.5" customHeight="1">
      <c r="A462" s="19" t="s">
        <v>127</v>
      </c>
      <c r="B462" s="19" t="s">
        <v>58</v>
      </c>
      <c r="C462" s="27">
        <v>5000.0</v>
      </c>
      <c r="D462" s="205" t="s">
        <v>381</v>
      </c>
      <c r="E462" s="223" t="s">
        <v>507</v>
      </c>
      <c r="F462" s="70" t="s">
        <v>508</v>
      </c>
    </row>
    <row r="463" ht="22.5" customHeight="1">
      <c r="A463" s="19" t="s">
        <v>128</v>
      </c>
      <c r="B463" s="19" t="s">
        <v>62</v>
      </c>
      <c r="C463" s="56">
        <v>5000.0</v>
      </c>
      <c r="D463" s="205" t="s">
        <v>381</v>
      </c>
      <c r="E463" s="59" t="s">
        <v>440</v>
      </c>
      <c r="F463" s="223" t="s">
        <v>539</v>
      </c>
    </row>
    <row r="464" ht="22.5" customHeight="1">
      <c r="A464" s="19" t="s">
        <v>129</v>
      </c>
      <c r="B464" s="19" t="s">
        <v>92</v>
      </c>
      <c r="C464" s="27"/>
      <c r="D464" s="205"/>
      <c r="E464" s="223"/>
      <c r="F464" s="70"/>
    </row>
    <row r="465" ht="22.5" customHeight="1">
      <c r="A465" s="19" t="s">
        <v>130</v>
      </c>
      <c r="B465" s="19" t="s">
        <v>23</v>
      </c>
      <c r="C465" s="18">
        <v>5000.0</v>
      </c>
      <c r="D465" s="205" t="s">
        <v>381</v>
      </c>
      <c r="E465" s="223" t="s">
        <v>475</v>
      </c>
      <c r="F465" s="70">
        <v>4.8260308034485E13</v>
      </c>
    </row>
    <row r="466" ht="22.5" customHeight="1">
      <c r="A466" s="19" t="s">
        <v>132</v>
      </c>
      <c r="B466" s="19" t="s">
        <v>23</v>
      </c>
      <c r="C466" s="18">
        <v>5000.0</v>
      </c>
      <c r="D466" s="205" t="s">
        <v>381</v>
      </c>
      <c r="E466" s="223" t="s">
        <v>475</v>
      </c>
      <c r="F466" s="70" t="s">
        <v>540</v>
      </c>
    </row>
    <row r="467" ht="22.5" customHeight="1">
      <c r="A467" s="19" t="s">
        <v>133</v>
      </c>
      <c r="B467" s="19" t="s">
        <v>77</v>
      </c>
      <c r="C467" s="56">
        <v>5000.0</v>
      </c>
      <c r="D467" s="205" t="s">
        <v>381</v>
      </c>
      <c r="E467" s="223" t="s">
        <v>459</v>
      </c>
      <c r="F467" s="59" t="s">
        <v>460</v>
      </c>
    </row>
    <row r="468" ht="22.5" customHeight="1">
      <c r="A468" s="19" t="s">
        <v>134</v>
      </c>
      <c r="B468" s="19" t="s">
        <v>70</v>
      </c>
      <c r="C468" s="56">
        <v>5000.0</v>
      </c>
      <c r="D468" s="205" t="s">
        <v>381</v>
      </c>
      <c r="E468" s="59" t="s">
        <v>419</v>
      </c>
      <c r="F468" s="59" t="s">
        <v>420</v>
      </c>
    </row>
    <row r="469" ht="22.5" customHeight="1">
      <c r="A469" s="19" t="s">
        <v>136</v>
      </c>
      <c r="B469" s="19" t="s">
        <v>70</v>
      </c>
      <c r="C469" s="56">
        <v>5000.0</v>
      </c>
      <c r="D469" s="205" t="s">
        <v>381</v>
      </c>
      <c r="E469" s="223" t="s">
        <v>541</v>
      </c>
      <c r="F469" s="59" t="s">
        <v>542</v>
      </c>
    </row>
    <row r="470" ht="22.5" customHeight="1">
      <c r="A470" s="19" t="s">
        <v>137</v>
      </c>
      <c r="B470" s="19" t="s">
        <v>70</v>
      </c>
      <c r="C470" s="56">
        <v>5000.0</v>
      </c>
      <c r="D470" s="205" t="s">
        <v>381</v>
      </c>
      <c r="E470" s="59" t="s">
        <v>511</v>
      </c>
      <c r="F470" s="59" t="s">
        <v>512</v>
      </c>
    </row>
    <row r="471" ht="22.5" customHeight="1">
      <c r="A471" s="19" t="s">
        <v>138</v>
      </c>
      <c r="B471" s="19" t="s">
        <v>70</v>
      </c>
      <c r="C471" s="56">
        <v>5000.0</v>
      </c>
      <c r="D471" s="205" t="s">
        <v>381</v>
      </c>
      <c r="E471" s="218" t="s">
        <v>373</v>
      </c>
      <c r="F471" s="219" t="s">
        <v>382</v>
      </c>
    </row>
    <row r="472" ht="22.5" customHeight="1">
      <c r="A472" s="19" t="s">
        <v>139</v>
      </c>
      <c r="B472" s="19" t="s">
        <v>70</v>
      </c>
      <c r="C472" s="56">
        <v>5000.0</v>
      </c>
      <c r="D472" s="205" t="s">
        <v>381</v>
      </c>
      <c r="E472" s="218" t="s">
        <v>373</v>
      </c>
      <c r="F472" s="219" t="s">
        <v>382</v>
      </c>
    </row>
    <row r="473" ht="22.5" customHeight="1">
      <c r="A473" s="19" t="s">
        <v>140</v>
      </c>
      <c r="B473" s="19" t="s">
        <v>70</v>
      </c>
      <c r="C473" s="56">
        <v>5000.0</v>
      </c>
      <c r="D473" s="205" t="s">
        <v>381</v>
      </c>
      <c r="E473" s="218" t="s">
        <v>373</v>
      </c>
      <c r="F473" s="219" t="s">
        <v>382</v>
      </c>
    </row>
    <row r="474" ht="22.5" customHeight="1">
      <c r="A474" s="19" t="s">
        <v>143</v>
      </c>
      <c r="B474" s="19" t="s">
        <v>144</v>
      </c>
      <c r="C474" s="56">
        <v>5000.0</v>
      </c>
      <c r="D474" s="205" t="s">
        <v>381</v>
      </c>
      <c r="E474" s="59" t="s">
        <v>327</v>
      </c>
      <c r="F474" s="241" t="s">
        <v>329</v>
      </c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  <row r="984">
      <c r="F984" s="25"/>
    </row>
    <row r="985">
      <c r="F985" s="25"/>
    </row>
    <row r="986">
      <c r="F986" s="25"/>
    </row>
    <row r="987">
      <c r="F987" s="25"/>
    </row>
    <row r="988">
      <c r="F988" s="25"/>
    </row>
    <row r="989">
      <c r="F989" s="25"/>
    </row>
    <row r="990">
      <c r="F990" s="25"/>
    </row>
    <row r="991">
      <c r="F991" s="25"/>
    </row>
    <row r="992">
      <c r="F992" s="25"/>
    </row>
    <row r="993">
      <c r="F993" s="25"/>
    </row>
    <row r="994">
      <c r="F994" s="25"/>
    </row>
    <row r="995">
      <c r="F995" s="25"/>
    </row>
    <row r="996">
      <c r="F996" s="25"/>
    </row>
    <row r="997">
      <c r="F997" s="25"/>
    </row>
    <row r="998">
      <c r="F998" s="25"/>
    </row>
    <row r="999">
      <c r="F999" s="25"/>
    </row>
    <row r="1000">
      <c r="F1000" s="25"/>
    </row>
    <row r="1001">
      <c r="F1001" s="25"/>
    </row>
    <row r="1002">
      <c r="F1002" s="25"/>
    </row>
    <row r="1003">
      <c r="F1003" s="25"/>
    </row>
    <row r="1004">
      <c r="F1004" s="25"/>
    </row>
    <row r="1005">
      <c r="F1005" s="25"/>
    </row>
    <row r="1006">
      <c r="F1006" s="25"/>
    </row>
    <row r="1007">
      <c r="F1007" s="25"/>
    </row>
    <row r="1008">
      <c r="F1008" s="25"/>
    </row>
    <row r="1009">
      <c r="F1009" s="25"/>
    </row>
    <row r="1010">
      <c r="F1010" s="25"/>
    </row>
    <row r="1011">
      <c r="F1011" s="25"/>
    </row>
    <row r="1012">
      <c r="F1012" s="25"/>
    </row>
    <row r="1013">
      <c r="F1013" s="25"/>
    </row>
    <row r="1014">
      <c r="F1014" s="25"/>
    </row>
    <row r="1015">
      <c r="F1015" s="25"/>
    </row>
    <row r="1016">
      <c r="F1016" s="25"/>
    </row>
    <row r="1017">
      <c r="F1017" s="25"/>
    </row>
    <row r="1018">
      <c r="F1018" s="25"/>
    </row>
    <row r="1019">
      <c r="F1019" s="25"/>
    </row>
    <row r="1020">
      <c r="F1020" s="25"/>
    </row>
    <row r="1021">
      <c r="F1021" s="25"/>
    </row>
    <row r="1022">
      <c r="F1022" s="25"/>
    </row>
    <row r="1023">
      <c r="F1023" s="25"/>
    </row>
    <row r="1024">
      <c r="F1024" s="25"/>
    </row>
    <row r="1025">
      <c r="F1025" s="25"/>
    </row>
    <row r="1026">
      <c r="F1026" s="25"/>
    </row>
    <row r="1027">
      <c r="F1027" s="25"/>
    </row>
    <row r="1028">
      <c r="F1028" s="25"/>
    </row>
    <row r="1029">
      <c r="F1029" s="25"/>
    </row>
    <row r="1030">
      <c r="F1030" s="25"/>
    </row>
    <row r="1031">
      <c r="F1031" s="25"/>
    </row>
    <row r="1032">
      <c r="F1032" s="25"/>
    </row>
    <row r="1033">
      <c r="F1033" s="25"/>
    </row>
    <row r="1034">
      <c r="F1034" s="25"/>
    </row>
    <row r="1035">
      <c r="F1035" s="25"/>
    </row>
    <row r="1036">
      <c r="F1036" s="25"/>
    </row>
    <row r="1037">
      <c r="F1037" s="25"/>
    </row>
    <row r="1038">
      <c r="F1038" s="25"/>
    </row>
    <row r="1039">
      <c r="F1039" s="25"/>
    </row>
    <row r="1040">
      <c r="F1040" s="25"/>
    </row>
    <row r="1041">
      <c r="F1041" s="25"/>
    </row>
    <row r="1042">
      <c r="F1042" s="25"/>
    </row>
    <row r="1043">
      <c r="F1043" s="25"/>
    </row>
    <row r="1044">
      <c r="F1044" s="25"/>
    </row>
    <row r="1045">
      <c r="F1045" s="25"/>
    </row>
    <row r="1046">
      <c r="F1046" s="25"/>
    </row>
    <row r="1047">
      <c r="F1047" s="25"/>
    </row>
    <row r="1048">
      <c r="F1048" s="25"/>
    </row>
    <row r="1049">
      <c r="F1049" s="25"/>
    </row>
    <row r="1050">
      <c r="F1050" s="25"/>
    </row>
    <row r="1051">
      <c r="F1051" s="25"/>
    </row>
    <row r="1052">
      <c r="F1052" s="25"/>
    </row>
    <row r="1053">
      <c r="F1053" s="25"/>
    </row>
    <row r="1054">
      <c r="F1054" s="25"/>
    </row>
    <row r="1055">
      <c r="F1055" s="25"/>
    </row>
    <row r="1056">
      <c r="F1056" s="25"/>
    </row>
    <row r="1057">
      <c r="F1057" s="25"/>
    </row>
    <row r="1058">
      <c r="F1058" s="25"/>
    </row>
    <row r="1059">
      <c r="F1059" s="25"/>
    </row>
    <row r="1060">
      <c r="F1060" s="25"/>
    </row>
    <row r="1061">
      <c r="F1061" s="25"/>
    </row>
    <row r="1062">
      <c r="F1062" s="25"/>
    </row>
    <row r="1063">
      <c r="F1063" s="25"/>
    </row>
    <row r="1064">
      <c r="F1064" s="25"/>
    </row>
    <row r="1065">
      <c r="F1065" s="25"/>
    </row>
    <row r="1066">
      <c r="F1066" s="25"/>
    </row>
    <row r="1067">
      <c r="F1067" s="25"/>
    </row>
    <row r="1068">
      <c r="F1068" s="25"/>
    </row>
    <row r="1069">
      <c r="F1069" s="25"/>
    </row>
    <row r="1070">
      <c r="F1070" s="25"/>
    </row>
    <row r="1071">
      <c r="F1071" s="25"/>
    </row>
    <row r="1072">
      <c r="F1072" s="25"/>
    </row>
    <row r="1073">
      <c r="F1073" s="25"/>
    </row>
    <row r="1074">
      <c r="F1074" s="25"/>
    </row>
    <row r="1075">
      <c r="F1075" s="25"/>
    </row>
    <row r="1076">
      <c r="F1076" s="25"/>
    </row>
    <row r="1077">
      <c r="F1077" s="25"/>
    </row>
    <row r="1078">
      <c r="F1078" s="25"/>
    </row>
    <row r="1079">
      <c r="F1079" s="25"/>
    </row>
    <row r="1080">
      <c r="F1080" s="25"/>
    </row>
    <row r="1081">
      <c r="F1081" s="25"/>
    </row>
    <row r="1082">
      <c r="F1082" s="25"/>
    </row>
    <row r="1083">
      <c r="F1083" s="25"/>
    </row>
    <row r="1084">
      <c r="F1084" s="25"/>
    </row>
    <row r="1085">
      <c r="F1085" s="25"/>
    </row>
    <row r="1086">
      <c r="F1086" s="25"/>
    </row>
    <row r="1087">
      <c r="F1087" s="25"/>
    </row>
    <row r="1088">
      <c r="F1088" s="25"/>
    </row>
    <row r="1089">
      <c r="F1089" s="25"/>
    </row>
    <row r="1090">
      <c r="F1090" s="25"/>
    </row>
    <row r="1091">
      <c r="F1091" s="25"/>
    </row>
    <row r="1092">
      <c r="F1092" s="25"/>
    </row>
    <row r="1093">
      <c r="F1093" s="25"/>
    </row>
    <row r="1094">
      <c r="F1094" s="25"/>
    </row>
    <row r="1095">
      <c r="F1095" s="25"/>
    </row>
    <row r="1096">
      <c r="F1096" s="25"/>
    </row>
    <row r="1097">
      <c r="F1097" s="25"/>
    </row>
    <row r="1098">
      <c r="F1098" s="25"/>
    </row>
    <row r="1099">
      <c r="F1099" s="25"/>
    </row>
    <row r="1100">
      <c r="F1100" s="25"/>
    </row>
    <row r="1101">
      <c r="F1101" s="25"/>
    </row>
    <row r="1102">
      <c r="F1102" s="25"/>
    </row>
    <row r="1103">
      <c r="F1103" s="25"/>
    </row>
    <row r="1104">
      <c r="F1104" s="25"/>
    </row>
    <row r="1105">
      <c r="F1105" s="25"/>
    </row>
    <row r="1106">
      <c r="F1106" s="25"/>
    </row>
    <row r="1107">
      <c r="F1107" s="25"/>
    </row>
    <row r="1108">
      <c r="F1108" s="25"/>
    </row>
    <row r="1109">
      <c r="F1109" s="25"/>
    </row>
    <row r="1110">
      <c r="F1110" s="25"/>
    </row>
    <row r="1111">
      <c r="F1111" s="25"/>
    </row>
    <row r="1112">
      <c r="F1112" s="25"/>
    </row>
    <row r="1113">
      <c r="F1113" s="25"/>
    </row>
    <row r="1114">
      <c r="F1114" s="25"/>
    </row>
    <row r="1115">
      <c r="F1115" s="25"/>
    </row>
    <row r="1116">
      <c r="F1116" s="25"/>
    </row>
    <row r="1117">
      <c r="F1117" s="25"/>
    </row>
    <row r="1118">
      <c r="F1118" s="25"/>
    </row>
    <row r="1119">
      <c r="F1119" s="25"/>
    </row>
    <row r="1120">
      <c r="F1120" s="25"/>
    </row>
    <row r="1121">
      <c r="F1121" s="25"/>
    </row>
    <row r="1122">
      <c r="F1122" s="25"/>
    </row>
    <row r="1123">
      <c r="F1123" s="25"/>
    </row>
    <row r="1124">
      <c r="F1124" s="25"/>
    </row>
    <row r="1125">
      <c r="F1125" s="25"/>
    </row>
    <row r="1126">
      <c r="F1126" s="25"/>
    </row>
    <row r="1127">
      <c r="F1127" s="25"/>
    </row>
    <row r="1128">
      <c r="F1128" s="25"/>
    </row>
    <row r="1129">
      <c r="F1129" s="25"/>
    </row>
    <row r="1130">
      <c r="F1130" s="25"/>
    </row>
    <row r="1131">
      <c r="F1131" s="25"/>
    </row>
    <row r="1132">
      <c r="F1132" s="25"/>
    </row>
    <row r="1133">
      <c r="F1133" s="25"/>
    </row>
    <row r="1134">
      <c r="F1134" s="25"/>
    </row>
    <row r="1135">
      <c r="F1135" s="25"/>
    </row>
    <row r="1136">
      <c r="F1136" s="25"/>
    </row>
    <row r="1137">
      <c r="F1137" s="25"/>
    </row>
    <row r="1138">
      <c r="F1138" s="25"/>
    </row>
    <row r="1139">
      <c r="F1139" s="25"/>
    </row>
    <row r="1140">
      <c r="F1140" s="25"/>
    </row>
    <row r="1141">
      <c r="F1141" s="25"/>
    </row>
    <row r="1142">
      <c r="F1142" s="25"/>
    </row>
    <row r="1143">
      <c r="F1143" s="25"/>
    </row>
    <row r="1144">
      <c r="F1144" s="25"/>
    </row>
    <row r="1145">
      <c r="F1145" s="25"/>
    </row>
    <row r="1146">
      <c r="F1146" s="25"/>
    </row>
    <row r="1147">
      <c r="F1147" s="25"/>
    </row>
    <row r="1148">
      <c r="F1148" s="25"/>
    </row>
    <row r="1149">
      <c r="F1149" s="25"/>
    </row>
    <row r="1150">
      <c r="F1150" s="25"/>
    </row>
    <row r="1151">
      <c r="F1151" s="25"/>
    </row>
    <row r="1152">
      <c r="F1152" s="25"/>
    </row>
    <row r="1153">
      <c r="F1153" s="25"/>
    </row>
    <row r="1154">
      <c r="F1154" s="25"/>
    </row>
    <row r="1155">
      <c r="F1155" s="25"/>
    </row>
    <row r="1156">
      <c r="F1156" s="25"/>
    </row>
    <row r="1157">
      <c r="F1157" s="25"/>
    </row>
    <row r="1158">
      <c r="F1158" s="25"/>
    </row>
    <row r="1159">
      <c r="F1159" s="25"/>
    </row>
    <row r="1160">
      <c r="F1160" s="25"/>
    </row>
    <row r="1161">
      <c r="F1161" s="25"/>
    </row>
    <row r="1162">
      <c r="F1162" s="25"/>
    </row>
    <row r="1163">
      <c r="F1163" s="25"/>
    </row>
    <row r="1164">
      <c r="F1164" s="25"/>
    </row>
    <row r="1165">
      <c r="F1165" s="25"/>
    </row>
    <row r="1166">
      <c r="F1166" s="25"/>
    </row>
    <row r="1167">
      <c r="F1167" s="25"/>
    </row>
    <row r="1168">
      <c r="F1168" s="25"/>
    </row>
    <row r="1169">
      <c r="F1169" s="25"/>
    </row>
    <row r="1170">
      <c r="F1170" s="25"/>
    </row>
    <row r="1171">
      <c r="F1171" s="25"/>
    </row>
    <row r="1172">
      <c r="F1172" s="25"/>
    </row>
    <row r="1173">
      <c r="F1173" s="25"/>
    </row>
    <row r="1174">
      <c r="F1174" s="25"/>
    </row>
    <row r="1175">
      <c r="F1175" s="25"/>
    </row>
    <row r="1176">
      <c r="F1176" s="25"/>
    </row>
    <row r="1177">
      <c r="F1177" s="25"/>
    </row>
    <row r="1178">
      <c r="F1178" s="25"/>
    </row>
    <row r="1179">
      <c r="F1179" s="25"/>
    </row>
    <row r="1180">
      <c r="F1180" s="25"/>
    </row>
    <row r="1181">
      <c r="F1181" s="25"/>
    </row>
    <row r="1182">
      <c r="F1182" s="25"/>
    </row>
    <row r="1183">
      <c r="F1183" s="25"/>
    </row>
    <row r="1184">
      <c r="F1184" s="25"/>
    </row>
    <row r="1185">
      <c r="F1185" s="25"/>
    </row>
    <row r="1186">
      <c r="F1186" s="25"/>
    </row>
    <row r="1187">
      <c r="F1187" s="25"/>
    </row>
    <row r="1188">
      <c r="F1188" s="25"/>
    </row>
    <row r="1189">
      <c r="F1189" s="25"/>
    </row>
    <row r="1190">
      <c r="F1190" s="25"/>
    </row>
    <row r="1191">
      <c r="F1191" s="25"/>
    </row>
    <row r="1192">
      <c r="F1192" s="25"/>
    </row>
    <row r="1193">
      <c r="F1193" s="25"/>
    </row>
    <row r="1194">
      <c r="F1194" s="25"/>
    </row>
    <row r="1195">
      <c r="F1195" s="25"/>
    </row>
    <row r="1196">
      <c r="F1196" s="25"/>
    </row>
    <row r="1197">
      <c r="F1197" s="25"/>
    </row>
    <row r="1198">
      <c r="F1198" s="25"/>
    </row>
    <row r="1199">
      <c r="F1199" s="25"/>
    </row>
    <row r="1200">
      <c r="F1200" s="25"/>
    </row>
    <row r="1201">
      <c r="F1201" s="25"/>
    </row>
    <row r="1202">
      <c r="F1202" s="25"/>
    </row>
    <row r="1203">
      <c r="F1203" s="25"/>
    </row>
    <row r="1204">
      <c r="F1204" s="25"/>
    </row>
    <row r="1205">
      <c r="F1205" s="25"/>
    </row>
    <row r="1206">
      <c r="F1206" s="25"/>
    </row>
    <row r="1207">
      <c r="F1207" s="25"/>
    </row>
    <row r="1208">
      <c r="F1208" s="25"/>
    </row>
    <row r="1209">
      <c r="F1209" s="25"/>
    </row>
    <row r="1210">
      <c r="F1210" s="25"/>
    </row>
    <row r="1211">
      <c r="F1211" s="25"/>
    </row>
    <row r="1212">
      <c r="F1212" s="25"/>
    </row>
    <row r="1213">
      <c r="F1213" s="25"/>
    </row>
    <row r="1214">
      <c r="F1214" s="25"/>
    </row>
    <row r="1215">
      <c r="F1215" s="25"/>
    </row>
    <row r="1216">
      <c r="F1216" s="25"/>
    </row>
    <row r="1217">
      <c r="F1217" s="25"/>
    </row>
    <row r="1218">
      <c r="F1218" s="25"/>
    </row>
    <row r="1219">
      <c r="F1219" s="25"/>
    </row>
    <row r="1220">
      <c r="F1220" s="25"/>
    </row>
    <row r="1221">
      <c r="F1221" s="25"/>
    </row>
    <row r="1222">
      <c r="F1222" s="25"/>
    </row>
    <row r="1223">
      <c r="F1223" s="25"/>
    </row>
    <row r="1224">
      <c r="F1224" s="25"/>
    </row>
    <row r="1225">
      <c r="F1225" s="25"/>
    </row>
    <row r="1226">
      <c r="F1226" s="25"/>
    </row>
    <row r="1227">
      <c r="F1227" s="25"/>
    </row>
    <row r="1228">
      <c r="F1228" s="25"/>
    </row>
    <row r="1229">
      <c r="F1229" s="25"/>
    </row>
    <row r="1230">
      <c r="F1230" s="25"/>
    </row>
    <row r="1231">
      <c r="F1231" s="25"/>
    </row>
    <row r="1232">
      <c r="F1232" s="25"/>
    </row>
    <row r="1233">
      <c r="F1233" s="25"/>
    </row>
    <row r="1234">
      <c r="F1234" s="25"/>
    </row>
    <row r="1235">
      <c r="F1235" s="25"/>
    </row>
    <row r="1236">
      <c r="F1236" s="25"/>
    </row>
    <row r="1237">
      <c r="F1237" s="25"/>
    </row>
    <row r="1238">
      <c r="F1238" s="25"/>
    </row>
    <row r="1239">
      <c r="F1239" s="25"/>
    </row>
    <row r="1240">
      <c r="F1240" s="25"/>
    </row>
    <row r="1241">
      <c r="F1241" s="25"/>
    </row>
    <row r="1242">
      <c r="F1242" s="25"/>
    </row>
    <row r="1243">
      <c r="F1243" s="25"/>
    </row>
    <row r="1244">
      <c r="F1244" s="25"/>
    </row>
    <row r="1245">
      <c r="F1245" s="25"/>
    </row>
    <row r="1246">
      <c r="F1246" s="25"/>
    </row>
    <row r="1247">
      <c r="F1247" s="25"/>
    </row>
    <row r="1248">
      <c r="F1248" s="25"/>
    </row>
    <row r="1249">
      <c r="F1249" s="25"/>
    </row>
    <row r="1250">
      <c r="F1250" s="25"/>
    </row>
    <row r="1251">
      <c r="F1251" s="25"/>
    </row>
    <row r="1252">
      <c r="F1252" s="25"/>
    </row>
    <row r="1253">
      <c r="F1253" s="25"/>
    </row>
    <row r="1254">
      <c r="F1254" s="25"/>
    </row>
    <row r="1255">
      <c r="F1255" s="25"/>
    </row>
    <row r="1256">
      <c r="F1256" s="25"/>
    </row>
    <row r="1257">
      <c r="F1257" s="25"/>
    </row>
    <row r="1258">
      <c r="F1258" s="25"/>
    </row>
    <row r="1259">
      <c r="F1259" s="25"/>
    </row>
    <row r="1260">
      <c r="F1260" s="25"/>
    </row>
    <row r="1261">
      <c r="F1261" s="25"/>
    </row>
    <row r="1262">
      <c r="F1262" s="25"/>
    </row>
    <row r="1263">
      <c r="F1263" s="25"/>
    </row>
    <row r="1264">
      <c r="F1264" s="25"/>
    </row>
    <row r="1265">
      <c r="F1265" s="25"/>
    </row>
    <row r="1266">
      <c r="F1266" s="25"/>
    </row>
    <row r="1267">
      <c r="F1267" s="25"/>
    </row>
    <row r="1268">
      <c r="F1268" s="25"/>
    </row>
    <row r="1269">
      <c r="F1269" s="25"/>
    </row>
    <row r="1270">
      <c r="F1270" s="25"/>
    </row>
    <row r="1271">
      <c r="F1271" s="25"/>
    </row>
    <row r="1272">
      <c r="F1272" s="25"/>
    </row>
    <row r="1273">
      <c r="F1273" s="25"/>
    </row>
    <row r="1274">
      <c r="F1274" s="25"/>
    </row>
    <row r="1275">
      <c r="F1275" s="25"/>
    </row>
    <row r="1276">
      <c r="F1276" s="25"/>
    </row>
    <row r="1277">
      <c r="F1277" s="25"/>
    </row>
    <row r="1278">
      <c r="F1278" s="25"/>
    </row>
    <row r="1279">
      <c r="F1279" s="25"/>
    </row>
    <row r="1280">
      <c r="F1280" s="25"/>
    </row>
    <row r="1281">
      <c r="F1281" s="25"/>
    </row>
    <row r="1282">
      <c r="F1282" s="25"/>
    </row>
    <row r="1283">
      <c r="F1283" s="25"/>
    </row>
    <row r="1284">
      <c r="F1284" s="25"/>
    </row>
    <row r="1285">
      <c r="F1285" s="25"/>
    </row>
    <row r="1286">
      <c r="F1286" s="25"/>
    </row>
    <row r="1287">
      <c r="F1287" s="25"/>
    </row>
    <row r="1288">
      <c r="F1288" s="25"/>
    </row>
    <row r="1289">
      <c r="F1289" s="25"/>
    </row>
    <row r="1290">
      <c r="F1290" s="25"/>
    </row>
    <row r="1291">
      <c r="F1291" s="25"/>
    </row>
    <row r="1292">
      <c r="F1292" s="25"/>
    </row>
    <row r="1293">
      <c r="F1293" s="25"/>
    </row>
    <row r="1294">
      <c r="F1294" s="25"/>
    </row>
    <row r="1295">
      <c r="F1295" s="25"/>
    </row>
    <row r="1296">
      <c r="F1296" s="25"/>
    </row>
    <row r="1297">
      <c r="F1297" s="25"/>
    </row>
    <row r="1298">
      <c r="F1298" s="25"/>
    </row>
    <row r="1299">
      <c r="F1299" s="25"/>
    </row>
    <row r="1300">
      <c r="F1300" s="25"/>
    </row>
    <row r="1301">
      <c r="F1301" s="25"/>
    </row>
    <row r="1302">
      <c r="F1302" s="25"/>
    </row>
    <row r="1303">
      <c r="F1303" s="25"/>
    </row>
    <row r="1304">
      <c r="F1304" s="25"/>
    </row>
    <row r="1305">
      <c r="F1305" s="25"/>
    </row>
    <row r="1306">
      <c r="F1306" s="25"/>
    </row>
    <row r="1307">
      <c r="F1307" s="25"/>
    </row>
    <row r="1308">
      <c r="F1308" s="25"/>
    </row>
    <row r="1309">
      <c r="F1309" s="25"/>
    </row>
    <row r="1310">
      <c r="F1310" s="25"/>
    </row>
    <row r="1311">
      <c r="F1311" s="25"/>
    </row>
    <row r="1312">
      <c r="F1312" s="25"/>
    </row>
    <row r="1313">
      <c r="F1313" s="25"/>
    </row>
    <row r="1314">
      <c r="F1314" s="25"/>
    </row>
    <row r="1315">
      <c r="F1315" s="25"/>
    </row>
    <row r="1316">
      <c r="F1316" s="25"/>
    </row>
    <row r="1317">
      <c r="F1317" s="25"/>
    </row>
    <row r="1318">
      <c r="F1318" s="25"/>
    </row>
    <row r="1319">
      <c r="F1319" s="25"/>
    </row>
    <row r="1320">
      <c r="F1320" s="25"/>
    </row>
    <row r="1321">
      <c r="F1321" s="25"/>
    </row>
    <row r="1322">
      <c r="F1322" s="25"/>
    </row>
    <row r="1323">
      <c r="F1323" s="25"/>
    </row>
    <row r="1324">
      <c r="F1324" s="25"/>
    </row>
    <row r="1325">
      <c r="F1325" s="25"/>
    </row>
    <row r="1326">
      <c r="F1326" s="25"/>
    </row>
    <row r="1327">
      <c r="F1327" s="25"/>
    </row>
    <row r="1328">
      <c r="F1328" s="25"/>
    </row>
    <row r="1329">
      <c r="F1329" s="25"/>
    </row>
    <row r="1330">
      <c r="F1330" s="25"/>
    </row>
    <row r="1331">
      <c r="F1331" s="25"/>
    </row>
  </sheetData>
  <dataValidations>
    <dataValidation type="custom" allowBlank="1" showDropDown="1" sqref="C63:C115 C123:C175 C181:C233 C242:C294 C303:C355 C363:C415 C422:C474">
      <formula1>AND(ISNUMBER(C63),(NOT(OR(NOT(ISERROR(DATEVALUE(C63))), AND(ISNUMBER(C63), LEFT(CELL("format", C63))="D")))))</formula1>
    </dataValidation>
    <dataValidation allowBlank="1" showDropDown="1" sqref="E63:F115 E123:F175 E181:F233 E242:F294 E303:F355 E363:F415 E422:E474"/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  <col customWidth="1" min="5" max="5" width="13.5"/>
  </cols>
  <sheetData>
    <row r="1" ht="22.5" customHeight="1">
      <c r="A1" s="8" t="s">
        <v>6</v>
      </c>
      <c r="B1" s="8" t="s">
        <v>8</v>
      </c>
      <c r="C1" s="8" t="s">
        <v>10</v>
      </c>
      <c r="D1" s="8" t="s">
        <v>11</v>
      </c>
      <c r="E1" s="8" t="s">
        <v>12</v>
      </c>
    </row>
    <row r="2" ht="22.5" customHeight="1">
      <c r="A2" s="12">
        <v>1.0</v>
      </c>
      <c r="B2" s="12" t="s">
        <v>16</v>
      </c>
      <c r="C2" s="15">
        <v>46024.0</v>
      </c>
      <c r="D2" s="12">
        <v>200.0</v>
      </c>
      <c r="E2" s="12" t="s">
        <v>22</v>
      </c>
    </row>
    <row r="3" ht="22.5" customHeight="1">
      <c r="A3" s="24">
        <v>2.0</v>
      </c>
      <c r="B3" s="24" t="s">
        <v>28</v>
      </c>
      <c r="C3" s="26">
        <v>46084.0</v>
      </c>
      <c r="D3" s="24">
        <v>100.0</v>
      </c>
      <c r="E3" s="24" t="s">
        <v>22</v>
      </c>
    </row>
    <row r="4" ht="22.5" customHeight="1">
      <c r="A4" s="24">
        <v>3.0</v>
      </c>
      <c r="B4" s="24" t="s">
        <v>31</v>
      </c>
      <c r="C4" s="26">
        <v>46115.0</v>
      </c>
      <c r="D4" s="24">
        <v>40.0</v>
      </c>
      <c r="E4" s="24" t="s">
        <v>22</v>
      </c>
    </row>
    <row r="5" ht="22.5" customHeight="1">
      <c r="A5" s="24">
        <v>4.0</v>
      </c>
      <c r="B5" s="24" t="s">
        <v>39</v>
      </c>
      <c r="C5" s="26">
        <v>46298.0</v>
      </c>
      <c r="D5" s="24">
        <v>100.0</v>
      </c>
      <c r="E5" s="24" t="s">
        <v>43</v>
      </c>
    </row>
    <row r="6" ht="22.5" customHeight="1">
      <c r="A6" s="24">
        <v>5.0</v>
      </c>
      <c r="B6" s="24" t="s">
        <v>45</v>
      </c>
      <c r="C6" s="26">
        <v>46331.0</v>
      </c>
      <c r="D6" s="24">
        <v>150.0</v>
      </c>
      <c r="E6" s="24" t="s">
        <v>22</v>
      </c>
    </row>
    <row r="7" ht="22.5" customHeight="1">
      <c r="A7" s="24">
        <v>6.0</v>
      </c>
      <c r="B7" s="24" t="s">
        <v>48</v>
      </c>
      <c r="C7" s="24" t="s">
        <v>49</v>
      </c>
      <c r="D7" s="24">
        <v>120.0</v>
      </c>
      <c r="E7" s="24" t="s">
        <v>43</v>
      </c>
    </row>
    <row r="8">
      <c r="A8" s="25"/>
      <c r="B8" s="25"/>
      <c r="C8" s="25"/>
      <c r="D8" s="25"/>
      <c r="E8" s="25"/>
    </row>
    <row r="9">
      <c r="A9" s="25"/>
      <c r="B9" s="25"/>
      <c r="C9" s="25"/>
      <c r="D9" s="25"/>
      <c r="E9" s="25"/>
    </row>
    <row r="10">
      <c r="A10" s="25"/>
      <c r="B10" s="25"/>
      <c r="C10" s="25"/>
      <c r="D10" s="25"/>
      <c r="E10" s="25"/>
    </row>
    <row r="11">
      <c r="A11" s="25"/>
      <c r="B11" s="25"/>
      <c r="C11" s="25"/>
      <c r="D11" s="25"/>
      <c r="E11" s="25"/>
    </row>
    <row r="12">
      <c r="A12" s="25"/>
      <c r="B12" s="25"/>
      <c r="C12" s="25"/>
      <c r="D12" s="25"/>
      <c r="E12" s="25"/>
    </row>
    <row r="13">
      <c r="A13" s="25"/>
      <c r="B13" s="25"/>
      <c r="C13" s="25"/>
      <c r="D13" s="25"/>
      <c r="E13" s="25"/>
    </row>
    <row r="14">
      <c r="A14" s="25"/>
      <c r="B14" s="25"/>
      <c r="C14" s="25"/>
      <c r="D14" s="25"/>
      <c r="E14" s="25"/>
    </row>
    <row r="15">
      <c r="A15" s="25"/>
      <c r="B15" s="25"/>
      <c r="C15" s="25"/>
      <c r="D15" s="25"/>
      <c r="E15" s="25"/>
    </row>
    <row r="16">
      <c r="E16" s="25"/>
    </row>
    <row r="17">
      <c r="E17" s="25"/>
    </row>
    <row r="18">
      <c r="E18" s="25"/>
    </row>
    <row r="19">
      <c r="D19" s="22">
        <f>SUM(D2:D18)</f>
        <v>710</v>
      </c>
    </row>
  </sheetData>
  <dataValidations>
    <dataValidation type="custom" allowBlank="1" showDropDown="1" sqref="C2:C7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19.25"/>
    <col customWidth="1" min="4" max="4" width="17.5"/>
    <col customWidth="1" min="5" max="5" width="23.75"/>
    <col customWidth="1" min="6" max="6" width="25.13"/>
    <col customWidth="1" min="7" max="7" width="73.88"/>
  </cols>
  <sheetData>
    <row r="1" ht="22.5" customHeight="1">
      <c r="A1" s="11" t="s">
        <v>7</v>
      </c>
      <c r="B1" s="11" t="s">
        <v>13</v>
      </c>
      <c r="C1" s="11" t="s">
        <v>14</v>
      </c>
      <c r="D1" s="11" t="s">
        <v>15</v>
      </c>
      <c r="E1" s="13" t="s">
        <v>17</v>
      </c>
      <c r="F1" s="13" t="s">
        <v>18</v>
      </c>
      <c r="G1" s="17" t="s">
        <v>20</v>
      </c>
    </row>
    <row r="2" ht="22.5" customHeight="1">
      <c r="A2" s="18">
        <v>1.0</v>
      </c>
      <c r="B2" s="19" t="s">
        <v>23</v>
      </c>
      <c r="C2" s="18">
        <v>4.0</v>
      </c>
      <c r="D2" s="18">
        <v>100.0</v>
      </c>
      <c r="E2" s="27">
        <f>SUM('Balance Sheet'!E48+'Balance Sheet'!E47+'Balance Sheet'!E8+'Balance Sheet'!E7)</f>
        <v>140000</v>
      </c>
      <c r="F2" s="27">
        <f t="shared" ref="F2:F18" si="1">C2*40000-E2</f>
        <v>20000</v>
      </c>
      <c r="G2" s="31" t="s">
        <v>33</v>
      </c>
    </row>
    <row r="3" ht="22.5" customHeight="1">
      <c r="A3" s="18">
        <v>2.0</v>
      </c>
      <c r="B3" s="19" t="s">
        <v>37</v>
      </c>
      <c r="C3" s="18">
        <v>4.0</v>
      </c>
      <c r="D3" s="18">
        <v>100.0</v>
      </c>
      <c r="E3" s="27">
        <f>SUM('Balance Sheet'!E19:E22)</f>
        <v>140000</v>
      </c>
      <c r="F3" s="27">
        <f t="shared" si="1"/>
        <v>20000</v>
      </c>
    </row>
    <row r="4" ht="22.5" customHeight="1">
      <c r="A4" s="18">
        <v>3.0</v>
      </c>
      <c r="B4" s="19" t="s">
        <v>46</v>
      </c>
      <c r="C4" s="18">
        <v>2.0</v>
      </c>
      <c r="D4" s="18">
        <v>100.0</v>
      </c>
      <c r="E4" s="27">
        <f>SUM('Balance Sheet'!E29:E30)</f>
        <v>70000</v>
      </c>
      <c r="F4" s="27">
        <f t="shared" si="1"/>
        <v>10000</v>
      </c>
      <c r="G4" s="31" t="s">
        <v>50</v>
      </c>
    </row>
    <row r="5" ht="22.5" customHeight="1">
      <c r="A5" s="18">
        <v>4.0</v>
      </c>
      <c r="B5" s="19" t="s">
        <v>54</v>
      </c>
      <c r="C5" s="18">
        <v>5.0</v>
      </c>
      <c r="D5" s="18">
        <v>100.0</v>
      </c>
      <c r="E5" s="27">
        <f>SUM('Balance Sheet'!E11:E14,'Balance Sheet'!E45)</f>
        <v>175000</v>
      </c>
      <c r="F5" s="27">
        <f t="shared" si="1"/>
        <v>25000</v>
      </c>
    </row>
    <row r="6" ht="22.5" customHeight="1">
      <c r="A6" s="18">
        <v>5.0</v>
      </c>
      <c r="B6" s="19" t="s">
        <v>77</v>
      </c>
      <c r="C6" s="18">
        <v>5.0</v>
      </c>
      <c r="D6" s="18">
        <v>100.0</v>
      </c>
      <c r="E6" s="27">
        <f>SUM('Balance Sheet'!E31,'Balance Sheet'!E33,'Balance Sheet'!E36,'Balance Sheet'!E37,'Balance Sheet'!E49)</f>
        <v>175000</v>
      </c>
      <c r="F6" s="27">
        <f t="shared" si="1"/>
        <v>25000</v>
      </c>
      <c r="G6" s="31" t="s">
        <v>85</v>
      </c>
    </row>
    <row r="7" ht="22.5" customHeight="1">
      <c r="A7" s="18">
        <v>6.0</v>
      </c>
      <c r="B7" s="19" t="s">
        <v>87</v>
      </c>
      <c r="C7" s="18">
        <v>3.0</v>
      </c>
      <c r="D7" s="18">
        <v>100.0</v>
      </c>
      <c r="E7" s="27">
        <f>SUM('Balance Sheet'!E23:E25)</f>
        <v>75000</v>
      </c>
      <c r="F7" s="27">
        <f t="shared" si="1"/>
        <v>45000</v>
      </c>
    </row>
    <row r="8" ht="22.5" customHeight="1">
      <c r="A8" s="18">
        <v>7.0</v>
      </c>
      <c r="B8" s="19" t="s">
        <v>70</v>
      </c>
      <c r="C8" s="18">
        <v>9.0</v>
      </c>
      <c r="D8" s="18">
        <v>100.0</v>
      </c>
      <c r="E8" s="27">
        <f>SUM('Balance Sheet'!E16:E18,'Balance Sheet'!E50:E52, 'Balance Sheet'!E53:E55)</f>
        <v>300000</v>
      </c>
      <c r="F8" s="27">
        <f t="shared" si="1"/>
        <v>60000</v>
      </c>
      <c r="G8" s="31" t="s">
        <v>114</v>
      </c>
    </row>
    <row r="9" ht="22.5" customHeight="1">
      <c r="A9" s="18">
        <v>8.0</v>
      </c>
      <c r="B9" s="19" t="s">
        <v>92</v>
      </c>
      <c r="C9" s="18">
        <v>4.0</v>
      </c>
      <c r="D9" s="18">
        <v>100.0</v>
      </c>
      <c r="E9" s="27">
        <f>SUM('Balance Sheet'!E26:E28,'Balance Sheet'!E46)</f>
        <v>70000</v>
      </c>
      <c r="F9" s="27">
        <f t="shared" si="1"/>
        <v>90000</v>
      </c>
    </row>
    <row r="10" ht="22.5" customHeight="1">
      <c r="A10" s="18">
        <v>9.0</v>
      </c>
      <c r="B10" s="19" t="s">
        <v>108</v>
      </c>
      <c r="C10" s="18">
        <v>1.0</v>
      </c>
      <c r="D10" s="18">
        <v>100.0</v>
      </c>
      <c r="E10" s="27">
        <f>SUM('Balance Sheet'!E35)</f>
        <v>35000</v>
      </c>
      <c r="F10" s="27">
        <f t="shared" si="1"/>
        <v>5000</v>
      </c>
      <c r="G10" s="31" t="s">
        <v>141</v>
      </c>
    </row>
    <row r="11" ht="22.5" customHeight="1">
      <c r="A11" s="18">
        <v>10.0</v>
      </c>
      <c r="B11" s="19" t="s">
        <v>58</v>
      </c>
      <c r="C11" s="18">
        <v>4.0</v>
      </c>
      <c r="D11" s="18">
        <v>100.0</v>
      </c>
      <c r="E11" s="27">
        <f>SUM('Balance Sheet'!E9:E10,'Balance Sheet'!E43:E44)</f>
        <v>140000</v>
      </c>
      <c r="F11" s="27">
        <f t="shared" si="1"/>
        <v>20000</v>
      </c>
    </row>
    <row r="12" ht="22.5" customHeight="1">
      <c r="A12" s="18">
        <v>11.0</v>
      </c>
      <c r="B12" s="19" t="s">
        <v>147</v>
      </c>
      <c r="C12" s="18">
        <v>1.0</v>
      </c>
      <c r="D12" s="55" t="s">
        <v>148</v>
      </c>
      <c r="E12" s="58">
        <f>SUM('Balance Sheet'!E34)</f>
        <v>35000</v>
      </c>
      <c r="F12" s="27">
        <f t="shared" si="1"/>
        <v>5000</v>
      </c>
      <c r="G12" s="31" t="s">
        <v>153</v>
      </c>
    </row>
    <row r="13" ht="22.5" customHeight="1">
      <c r="A13" s="18">
        <v>12.0</v>
      </c>
      <c r="B13" s="19" t="s">
        <v>44</v>
      </c>
      <c r="C13" s="18">
        <v>3.0</v>
      </c>
      <c r="D13" s="18">
        <v>100.0</v>
      </c>
      <c r="E13" s="27">
        <f>SUM('Balance Sheet'!E4:E6)</f>
        <v>105000</v>
      </c>
      <c r="F13" s="27">
        <f t="shared" si="1"/>
        <v>15000</v>
      </c>
    </row>
    <row r="14" ht="22.5" customHeight="1">
      <c r="A14" s="18">
        <v>13.0</v>
      </c>
      <c r="B14" s="19" t="s">
        <v>68</v>
      </c>
      <c r="C14" s="18">
        <v>1.0</v>
      </c>
      <c r="D14" s="18">
        <v>100.0</v>
      </c>
      <c r="E14" s="27">
        <f>SUM('Balance Sheet'!E15)</f>
        <v>35000</v>
      </c>
      <c r="F14" s="27">
        <f t="shared" si="1"/>
        <v>5000</v>
      </c>
      <c r="G14" s="31" t="s">
        <v>161</v>
      </c>
    </row>
    <row r="15" ht="22.5" customHeight="1">
      <c r="A15" s="18">
        <v>14.0</v>
      </c>
      <c r="B15" s="19" t="s">
        <v>102</v>
      </c>
      <c r="C15" s="18">
        <v>1.0</v>
      </c>
      <c r="D15" s="18">
        <v>100.0</v>
      </c>
      <c r="E15" s="27">
        <f>SUM('Balance Sheet'!E32)</f>
        <v>35000</v>
      </c>
      <c r="F15" s="27">
        <f t="shared" si="1"/>
        <v>5000</v>
      </c>
    </row>
    <row r="16" ht="22.5" customHeight="1">
      <c r="A16" s="18">
        <v>15.0</v>
      </c>
      <c r="B16" s="70" t="s">
        <v>113</v>
      </c>
      <c r="C16" s="18">
        <v>1.0</v>
      </c>
      <c r="D16" s="55" t="s">
        <v>148</v>
      </c>
      <c r="E16" s="58">
        <f>SUM('Balance Sheet'!E38)</f>
        <v>40000</v>
      </c>
      <c r="F16" s="27">
        <f t="shared" si="1"/>
        <v>0</v>
      </c>
    </row>
    <row r="17" ht="22.5" customHeight="1">
      <c r="A17" s="71">
        <v>16.0</v>
      </c>
      <c r="B17" s="72" t="s">
        <v>120</v>
      </c>
      <c r="C17" s="71">
        <v>4.0</v>
      </c>
      <c r="D17" s="71">
        <v>100.0</v>
      </c>
      <c r="E17" s="71">
        <f>SUM('Balance Sheet'!E40:E42,'Balance Sheet'!E39)</f>
        <v>140000</v>
      </c>
      <c r="F17" s="27">
        <f t="shared" si="1"/>
        <v>20000</v>
      </c>
    </row>
    <row r="18" ht="22.5" customHeight="1">
      <c r="A18" s="71" t="s">
        <v>187</v>
      </c>
      <c r="B18" s="71" t="s">
        <v>188</v>
      </c>
      <c r="C18" s="71" t="s">
        <v>190</v>
      </c>
      <c r="D18" s="71" t="s">
        <v>191</v>
      </c>
      <c r="E18" s="71">
        <f>SUM('Balance Sheet'!E56)</f>
        <v>35000</v>
      </c>
      <c r="F18" s="78">
        <f t="shared" si="1"/>
        <v>5000</v>
      </c>
    </row>
    <row r="19">
      <c r="A19" s="79"/>
      <c r="B19" s="79"/>
      <c r="C19" s="84">
        <f>SUM(Share_Info[[#DATA],[#TOTALS],[No of Share]])</f>
        <v>53</v>
      </c>
      <c r="D19" s="84">
        <f>SUM(D2:D18)</f>
        <v>1500</v>
      </c>
      <c r="E19" s="88">
        <f>SUM(Share_Info[[#DATA],[#TOTALS],[Deposit amount so far]])</f>
        <v>1745000</v>
      </c>
      <c r="F19" s="92">
        <f>SUM(Share_Info[[#DATA],[#TOTALS],[Due Amount till August]])</f>
        <v>375000</v>
      </c>
    </row>
  </sheetData>
  <dataValidations>
    <dataValidation type="custom" allowBlank="1" showDropDown="1" sqref="A2:A17 C2:D17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9.63"/>
    <col customWidth="1" min="4" max="4" width="1.88"/>
    <col customWidth="1" min="5" max="5" width="12.5"/>
    <col customWidth="1" min="6" max="6" width="26.5"/>
  </cols>
  <sheetData>
    <row r="1">
      <c r="A1" s="61"/>
      <c r="B1" s="61"/>
      <c r="C1" s="61"/>
      <c r="D1" s="61"/>
      <c r="E1" s="61"/>
      <c r="F1" s="61"/>
      <c r="G1" s="61"/>
    </row>
    <row r="2">
      <c r="A2" s="62" t="s">
        <v>157</v>
      </c>
      <c r="B2" s="63"/>
      <c r="C2" s="63"/>
      <c r="D2" s="63"/>
      <c r="E2" s="63"/>
      <c r="F2" s="63"/>
      <c r="G2" s="64"/>
    </row>
    <row r="3">
      <c r="A3" s="65" t="s">
        <v>10</v>
      </c>
      <c r="B3" s="65" t="s">
        <v>162</v>
      </c>
      <c r="C3" s="65" t="s">
        <v>3</v>
      </c>
      <c r="D3" s="66"/>
      <c r="E3" s="65" t="s">
        <v>10</v>
      </c>
      <c r="F3" s="65" t="s">
        <v>164</v>
      </c>
      <c r="G3" s="65" t="s">
        <v>3</v>
      </c>
    </row>
    <row r="4">
      <c r="A4" s="65" t="s">
        <v>165</v>
      </c>
      <c r="B4" s="65" t="s">
        <v>166</v>
      </c>
      <c r="C4" s="65">
        <v>10000.0</v>
      </c>
      <c r="D4" s="66"/>
      <c r="E4" s="67">
        <v>46361.0</v>
      </c>
      <c r="F4" s="66"/>
      <c r="G4" s="65">
        <v>10000.0</v>
      </c>
    </row>
    <row r="5">
      <c r="A5" s="66"/>
      <c r="B5" s="66"/>
      <c r="C5" s="66"/>
      <c r="D5" s="66"/>
      <c r="E5" s="66"/>
      <c r="F5" s="66"/>
      <c r="G5" s="66"/>
    </row>
    <row r="6">
      <c r="A6" s="66"/>
      <c r="B6" s="66"/>
      <c r="C6" s="66"/>
      <c r="D6" s="66"/>
      <c r="E6" s="66"/>
      <c r="F6" s="66"/>
      <c r="G6" s="66"/>
    </row>
    <row r="7">
      <c r="G7" s="68">
        <f>SUM(G4:G6)</f>
        <v>10000</v>
      </c>
      <c r="H7" s="69" t="s">
        <v>169</v>
      </c>
    </row>
    <row r="10">
      <c r="A10" s="62" t="s">
        <v>172</v>
      </c>
      <c r="B10" s="63"/>
      <c r="C10" s="63"/>
      <c r="D10" s="63"/>
      <c r="E10" s="63"/>
      <c r="F10" s="63"/>
      <c r="G10" s="64"/>
    </row>
    <row r="11">
      <c r="A11" s="65" t="s">
        <v>10</v>
      </c>
      <c r="B11" s="65" t="s">
        <v>162</v>
      </c>
      <c r="C11" s="65" t="s">
        <v>3</v>
      </c>
      <c r="D11" s="66"/>
      <c r="E11" s="65" t="s">
        <v>10</v>
      </c>
      <c r="F11" s="65" t="s">
        <v>164</v>
      </c>
      <c r="G11" s="65" t="s">
        <v>3</v>
      </c>
    </row>
    <row r="12">
      <c r="A12" s="65" t="s">
        <v>165</v>
      </c>
      <c r="B12" s="65" t="s">
        <v>174</v>
      </c>
      <c r="C12" s="65">
        <v>15000.0</v>
      </c>
      <c r="D12" s="66"/>
      <c r="E12" s="67">
        <v>46361.0</v>
      </c>
      <c r="F12" s="66"/>
      <c r="G12" s="65">
        <v>15000.0</v>
      </c>
    </row>
    <row r="13">
      <c r="A13" s="66"/>
      <c r="B13" s="66"/>
      <c r="C13" s="66"/>
      <c r="D13" s="66"/>
      <c r="E13" s="66"/>
      <c r="F13" s="66"/>
      <c r="G13" s="66"/>
    </row>
    <row r="14">
      <c r="A14" s="66"/>
      <c r="B14" s="66"/>
      <c r="C14" s="66"/>
      <c r="D14" s="66"/>
      <c r="E14" s="66"/>
      <c r="F14" s="66"/>
      <c r="G14" s="66"/>
    </row>
    <row r="15">
      <c r="G15" s="68">
        <f>SUM(G12:G14)</f>
        <v>15000</v>
      </c>
      <c r="H15" s="69" t="s">
        <v>169</v>
      </c>
    </row>
    <row r="18">
      <c r="A18" s="62" t="s">
        <v>176</v>
      </c>
      <c r="B18" s="63"/>
      <c r="C18" s="63"/>
      <c r="D18" s="63"/>
      <c r="E18" s="63"/>
      <c r="F18" s="63"/>
      <c r="G18" s="64"/>
    </row>
    <row r="19">
      <c r="A19" s="65" t="s">
        <v>10</v>
      </c>
      <c r="B19" s="65" t="s">
        <v>162</v>
      </c>
      <c r="C19" s="65" t="s">
        <v>3</v>
      </c>
      <c r="D19" s="66"/>
      <c r="E19" s="65" t="s">
        <v>10</v>
      </c>
      <c r="F19" s="65" t="s">
        <v>164</v>
      </c>
      <c r="G19" s="65" t="s">
        <v>3</v>
      </c>
    </row>
    <row r="20">
      <c r="A20" s="73">
        <v>46057.0</v>
      </c>
      <c r="B20" s="65" t="s">
        <v>179</v>
      </c>
      <c r="C20" s="65">
        <v>30000.0</v>
      </c>
      <c r="D20" s="66"/>
      <c r="E20" s="67">
        <v>46177.0</v>
      </c>
      <c r="F20" s="65" t="s">
        <v>180</v>
      </c>
      <c r="G20" s="74">
        <v>10000.0</v>
      </c>
    </row>
    <row r="21">
      <c r="A21" s="66"/>
      <c r="B21" s="66"/>
      <c r="C21" s="66"/>
      <c r="D21" s="66"/>
      <c r="E21" s="65" t="s">
        <v>182</v>
      </c>
      <c r="F21" s="65" t="s">
        <v>183</v>
      </c>
      <c r="G21" s="65">
        <v>10000.0</v>
      </c>
    </row>
    <row r="22">
      <c r="A22" s="66"/>
      <c r="B22" s="66"/>
      <c r="C22" s="66"/>
      <c r="D22" s="66"/>
      <c r="E22" s="65" t="s">
        <v>184</v>
      </c>
      <c r="F22" s="65" t="s">
        <v>185</v>
      </c>
      <c r="G22" s="65">
        <v>10000.0</v>
      </c>
    </row>
    <row r="23">
      <c r="G23" s="75">
        <f>SUM(G20:G22)</f>
        <v>30000</v>
      </c>
      <c r="H23" s="69" t="s">
        <v>169</v>
      </c>
    </row>
    <row r="26">
      <c r="A26" s="62" t="s">
        <v>189</v>
      </c>
      <c r="B26" s="63"/>
      <c r="C26" s="63"/>
      <c r="D26" s="63"/>
      <c r="E26" s="63"/>
      <c r="F26" s="63"/>
      <c r="G26" s="64"/>
    </row>
    <row r="27">
      <c r="A27" s="65" t="s">
        <v>10</v>
      </c>
      <c r="B27" s="65" t="s">
        <v>162</v>
      </c>
      <c r="C27" s="65" t="s">
        <v>3</v>
      </c>
      <c r="D27" s="66"/>
      <c r="E27" s="65" t="s">
        <v>10</v>
      </c>
      <c r="F27" s="65" t="s">
        <v>164</v>
      </c>
      <c r="G27" s="65" t="s">
        <v>3</v>
      </c>
    </row>
    <row r="28">
      <c r="A28" s="67">
        <v>46116.0</v>
      </c>
      <c r="B28" s="65" t="s">
        <v>193</v>
      </c>
      <c r="C28" s="74">
        <v>20000.0</v>
      </c>
      <c r="D28" s="66"/>
      <c r="E28" s="66"/>
      <c r="F28" s="66"/>
      <c r="G28" s="66"/>
    </row>
    <row r="29">
      <c r="A29" s="66"/>
      <c r="B29" s="66"/>
      <c r="C29" s="66"/>
      <c r="D29" s="66"/>
      <c r="E29" s="66"/>
      <c r="F29" s="66"/>
      <c r="G29" s="66"/>
    </row>
    <row r="30">
      <c r="A30" s="66"/>
      <c r="B30" s="66"/>
      <c r="C30" s="66"/>
      <c r="D30" s="66"/>
      <c r="E30" s="66"/>
      <c r="F30" s="66"/>
      <c r="G30" s="66"/>
    </row>
    <row r="31">
      <c r="G31" s="68">
        <f>SUM(G28:G30)</f>
        <v>0</v>
      </c>
    </row>
    <row r="34">
      <c r="A34" s="62" t="s">
        <v>195</v>
      </c>
      <c r="B34" s="63"/>
      <c r="C34" s="63"/>
      <c r="D34" s="63"/>
      <c r="E34" s="63"/>
      <c r="F34" s="63"/>
      <c r="G34" s="64"/>
    </row>
    <row r="35">
      <c r="A35" s="65" t="s">
        <v>10</v>
      </c>
      <c r="B35" s="65" t="s">
        <v>162</v>
      </c>
      <c r="C35" s="65" t="s">
        <v>3</v>
      </c>
      <c r="D35" s="66"/>
      <c r="E35" s="65" t="s">
        <v>10</v>
      </c>
      <c r="F35" s="65" t="s">
        <v>164</v>
      </c>
      <c r="G35" s="65" t="s">
        <v>3</v>
      </c>
    </row>
    <row r="36">
      <c r="A36" s="67">
        <v>46238.0</v>
      </c>
      <c r="B36" s="65" t="s">
        <v>197</v>
      </c>
      <c r="C36" s="74">
        <v>10000.0</v>
      </c>
      <c r="D36" s="66"/>
      <c r="E36" s="65" t="s">
        <v>198</v>
      </c>
      <c r="F36" s="81" t="s">
        <v>199</v>
      </c>
      <c r="G36" s="82">
        <v>10000.0</v>
      </c>
    </row>
    <row r="37">
      <c r="A37" s="66"/>
      <c r="B37" s="66"/>
      <c r="C37" s="66"/>
      <c r="D37" s="66"/>
      <c r="E37" s="66"/>
      <c r="F37" s="83"/>
      <c r="G37" s="66"/>
    </row>
    <row r="38">
      <c r="A38" s="66"/>
      <c r="B38" s="66"/>
      <c r="C38" s="66"/>
      <c r="D38" s="66"/>
      <c r="E38" s="66"/>
      <c r="F38" s="66"/>
      <c r="G38" s="66"/>
    </row>
    <row r="39">
      <c r="G39" s="68">
        <f>SUM(G36:G38)</f>
        <v>10000</v>
      </c>
      <c r="H39" s="69" t="s">
        <v>169</v>
      </c>
    </row>
    <row r="42">
      <c r="A42" s="85" t="s">
        <v>202</v>
      </c>
      <c r="B42" s="63"/>
      <c r="C42" s="63"/>
      <c r="D42" s="63"/>
      <c r="E42" s="63"/>
      <c r="F42" s="63"/>
      <c r="G42" s="64"/>
    </row>
    <row r="43">
      <c r="A43" s="65" t="s">
        <v>10</v>
      </c>
      <c r="B43" s="86" t="s">
        <v>162</v>
      </c>
      <c r="C43" s="86" t="s">
        <v>3</v>
      </c>
      <c r="D43" s="87"/>
      <c r="E43" s="86" t="s">
        <v>10</v>
      </c>
      <c r="F43" s="86" t="s">
        <v>164</v>
      </c>
      <c r="G43" s="86" t="s">
        <v>3</v>
      </c>
    </row>
    <row r="44">
      <c r="A44" s="89" t="s">
        <v>205</v>
      </c>
      <c r="B44" s="89" t="s">
        <v>166</v>
      </c>
      <c r="C44" s="90">
        <v>20000.0</v>
      </c>
      <c r="D44" s="87"/>
      <c r="E44" s="91">
        <v>46059.0</v>
      </c>
      <c r="F44" s="93" t="s">
        <v>208</v>
      </c>
      <c r="G44" s="93">
        <v>20000.0</v>
      </c>
    </row>
    <row r="45">
      <c r="A45" s="87"/>
      <c r="B45" s="87"/>
      <c r="C45" s="87"/>
      <c r="D45" s="87"/>
      <c r="E45" s="87"/>
      <c r="F45" s="87"/>
      <c r="G45" s="87"/>
    </row>
    <row r="46">
      <c r="A46" s="87"/>
      <c r="B46" s="87"/>
      <c r="C46" s="87"/>
      <c r="D46" s="87"/>
      <c r="E46" s="87"/>
      <c r="F46" s="87"/>
      <c r="G46" s="87"/>
    </row>
    <row r="47">
      <c r="G47" s="68">
        <f>SUM(G44:G46)</f>
        <v>20000</v>
      </c>
      <c r="H47" s="69" t="s">
        <v>169</v>
      </c>
    </row>
    <row r="50">
      <c r="A50" s="85" t="s">
        <v>210</v>
      </c>
      <c r="B50" s="63"/>
      <c r="C50" s="63"/>
      <c r="D50" s="63"/>
      <c r="E50" s="63"/>
      <c r="F50" s="63"/>
      <c r="G50" s="64"/>
    </row>
    <row r="51">
      <c r="A51" s="65" t="s">
        <v>10</v>
      </c>
      <c r="B51" s="86" t="s">
        <v>162</v>
      </c>
      <c r="C51" s="86" t="s">
        <v>3</v>
      </c>
      <c r="D51" s="87"/>
      <c r="E51" s="86" t="s">
        <v>10</v>
      </c>
      <c r="F51" s="86" t="s">
        <v>164</v>
      </c>
      <c r="G51" s="86" t="s">
        <v>3</v>
      </c>
    </row>
    <row r="52">
      <c r="A52" s="89" t="s">
        <v>184</v>
      </c>
      <c r="B52" s="89" t="s">
        <v>212</v>
      </c>
      <c r="C52" s="94">
        <v>30000.0</v>
      </c>
      <c r="D52" s="87"/>
      <c r="E52" s="89" t="s">
        <v>213</v>
      </c>
      <c r="F52" s="89" t="s">
        <v>215</v>
      </c>
      <c r="G52" s="93">
        <v>12000.0</v>
      </c>
    </row>
    <row r="53">
      <c r="A53" s="87"/>
      <c r="B53" s="87"/>
      <c r="C53" s="87"/>
      <c r="D53" s="87"/>
      <c r="E53" s="87"/>
      <c r="F53" s="87"/>
      <c r="G53" s="87"/>
    </row>
    <row r="54">
      <c r="A54" s="87"/>
      <c r="B54" s="87"/>
      <c r="C54" s="87"/>
      <c r="D54" s="87"/>
      <c r="E54" s="87"/>
      <c r="F54" s="87"/>
      <c r="G54" s="87"/>
    </row>
    <row r="55">
      <c r="G55" s="68">
        <f>SUM(G52:G54)</f>
        <v>12000</v>
      </c>
    </row>
    <row r="59">
      <c r="A59" s="85" t="s">
        <v>217</v>
      </c>
      <c r="B59" s="63"/>
      <c r="C59" s="63"/>
      <c r="D59" s="63"/>
      <c r="E59" s="63"/>
      <c r="F59" s="63"/>
      <c r="G59" s="64"/>
    </row>
    <row r="60">
      <c r="A60" s="65" t="s">
        <v>10</v>
      </c>
      <c r="B60" s="86" t="s">
        <v>162</v>
      </c>
      <c r="C60" s="86" t="s">
        <v>3</v>
      </c>
      <c r="D60" s="87"/>
      <c r="E60" s="86" t="s">
        <v>10</v>
      </c>
      <c r="F60" s="86" t="s">
        <v>164</v>
      </c>
      <c r="G60" s="86" t="s">
        <v>3</v>
      </c>
    </row>
    <row r="61">
      <c r="A61" s="89" t="s">
        <v>184</v>
      </c>
      <c r="B61" s="89" t="s">
        <v>220</v>
      </c>
      <c r="C61" s="94">
        <v>15000.0</v>
      </c>
      <c r="D61" s="87"/>
      <c r="E61" s="89" t="s">
        <v>222</v>
      </c>
      <c r="F61" s="89" t="s">
        <v>223</v>
      </c>
      <c r="G61" s="94">
        <v>15000.0</v>
      </c>
    </row>
    <row r="62">
      <c r="A62" s="87"/>
      <c r="B62" s="87"/>
      <c r="C62" s="87"/>
      <c r="D62" s="87"/>
      <c r="E62" s="87"/>
      <c r="F62" s="87"/>
      <c r="G62" s="87"/>
    </row>
    <row r="63">
      <c r="A63" s="87"/>
      <c r="B63" s="87"/>
      <c r="C63" s="87"/>
      <c r="D63" s="87"/>
      <c r="E63" s="87"/>
      <c r="F63" s="87"/>
      <c r="G63" s="87"/>
    </row>
    <row r="64">
      <c r="G64" s="95">
        <f>SUM(G61:G63)</f>
        <v>15000</v>
      </c>
      <c r="H64" s="96" t="s">
        <v>225</v>
      </c>
    </row>
    <row r="68">
      <c r="A68" s="85" t="s">
        <v>227</v>
      </c>
      <c r="B68" s="63"/>
      <c r="C68" s="63"/>
      <c r="D68" s="63"/>
      <c r="E68" s="63"/>
      <c r="F68" s="63"/>
      <c r="G68" s="64"/>
    </row>
    <row r="69">
      <c r="A69" s="65" t="s">
        <v>10</v>
      </c>
      <c r="B69" s="86" t="s">
        <v>162</v>
      </c>
      <c r="C69" s="86" t="s">
        <v>3</v>
      </c>
      <c r="D69" s="87"/>
      <c r="E69" s="86" t="s">
        <v>10</v>
      </c>
      <c r="F69" s="86" t="s">
        <v>164</v>
      </c>
      <c r="G69" s="86" t="s">
        <v>3</v>
      </c>
    </row>
    <row r="70">
      <c r="A70" s="89" t="s">
        <v>184</v>
      </c>
      <c r="B70" s="89" t="s">
        <v>179</v>
      </c>
      <c r="C70" s="6">
        <v>20000.0</v>
      </c>
      <c r="D70" s="87"/>
      <c r="E70" s="91">
        <v>46181.0</v>
      </c>
      <c r="F70" s="50" t="s">
        <v>231</v>
      </c>
      <c r="G70" s="6">
        <v>20000.0</v>
      </c>
    </row>
    <row r="71">
      <c r="A71" s="87"/>
      <c r="B71" s="87"/>
      <c r="C71" s="87"/>
      <c r="D71" s="87"/>
      <c r="E71" s="87"/>
      <c r="F71" s="87"/>
      <c r="G71" s="87"/>
    </row>
    <row r="72">
      <c r="A72" s="87"/>
      <c r="B72" s="87"/>
      <c r="C72" s="87"/>
      <c r="D72" s="87"/>
      <c r="E72" s="87"/>
      <c r="F72" s="87"/>
      <c r="G72" s="87"/>
    </row>
    <row r="73">
      <c r="G73" s="68">
        <f>SUM(G70:G72)</f>
        <v>20000</v>
      </c>
      <c r="H73" s="96" t="s">
        <v>225</v>
      </c>
    </row>
    <row r="77">
      <c r="A77" s="85" t="s">
        <v>233</v>
      </c>
      <c r="B77" s="63"/>
      <c r="C77" s="63"/>
      <c r="D77" s="63"/>
      <c r="E77" s="63"/>
      <c r="F77" s="63"/>
      <c r="G77" s="64"/>
    </row>
    <row r="78">
      <c r="A78" s="86" t="s">
        <v>10</v>
      </c>
      <c r="B78" s="86" t="s">
        <v>162</v>
      </c>
      <c r="C78" s="86" t="s">
        <v>3</v>
      </c>
      <c r="D78" s="87"/>
      <c r="E78" s="86" t="s">
        <v>10</v>
      </c>
      <c r="F78" s="86" t="s">
        <v>164</v>
      </c>
      <c r="G78" s="86" t="s">
        <v>3</v>
      </c>
    </row>
    <row r="79">
      <c r="A79" s="86" t="s">
        <v>184</v>
      </c>
      <c r="B79" s="89" t="s">
        <v>234</v>
      </c>
      <c r="C79" s="94">
        <v>20000.0</v>
      </c>
      <c r="D79" s="87"/>
      <c r="E79" s="87"/>
      <c r="F79" s="87"/>
      <c r="G79" s="87"/>
    </row>
    <row r="80">
      <c r="A80" s="87"/>
      <c r="B80" s="87"/>
      <c r="C80" s="87"/>
      <c r="D80" s="87"/>
      <c r="E80" s="87"/>
      <c r="F80" s="87"/>
      <c r="G80" s="87"/>
    </row>
    <row r="81">
      <c r="A81" s="87"/>
      <c r="B81" s="87"/>
      <c r="C81" s="87"/>
      <c r="D81" s="87"/>
      <c r="E81" s="87"/>
      <c r="F81" s="87"/>
      <c r="G81" s="87"/>
    </row>
    <row r="82">
      <c r="A82" s="101"/>
      <c r="B82" s="101"/>
      <c r="C82" s="101"/>
      <c r="D82" s="101"/>
      <c r="E82" s="101"/>
      <c r="F82" s="101"/>
      <c r="G82" s="102">
        <f>SUM(G79:G81)</f>
        <v>0</v>
      </c>
    </row>
    <row r="85">
      <c r="A85" s="85" t="s">
        <v>236</v>
      </c>
      <c r="B85" s="63"/>
      <c r="C85" s="63"/>
      <c r="D85" s="63"/>
      <c r="E85" s="63"/>
      <c r="F85" s="63"/>
      <c r="G85" s="64"/>
    </row>
    <row r="86">
      <c r="A86" s="86" t="s">
        <v>10</v>
      </c>
      <c r="B86" s="86" t="s">
        <v>162</v>
      </c>
      <c r="C86" s="86" t="s">
        <v>3</v>
      </c>
      <c r="D86" s="87"/>
      <c r="E86" s="86" t="s">
        <v>10</v>
      </c>
      <c r="F86" s="86" t="s">
        <v>164</v>
      </c>
      <c r="G86" s="86" t="s">
        <v>3</v>
      </c>
    </row>
    <row r="87">
      <c r="A87" s="89" t="s">
        <v>238</v>
      </c>
      <c r="B87" s="6" t="s">
        <v>239</v>
      </c>
      <c r="C87" s="94">
        <v>25000.0</v>
      </c>
      <c r="D87" s="87"/>
      <c r="E87" s="87"/>
      <c r="F87" s="87"/>
      <c r="G87" s="87"/>
    </row>
    <row r="88">
      <c r="A88" s="89" t="s">
        <v>240</v>
      </c>
      <c r="B88" s="6" t="s">
        <v>239</v>
      </c>
      <c r="C88" s="94">
        <v>25000.0</v>
      </c>
      <c r="D88" s="87"/>
      <c r="E88" s="87"/>
      <c r="F88" s="87"/>
      <c r="G88" s="87"/>
    </row>
    <row r="89">
      <c r="A89" s="87"/>
      <c r="B89" s="87"/>
      <c r="C89" s="87"/>
      <c r="D89" s="87"/>
      <c r="E89" s="87"/>
      <c r="F89" s="87"/>
      <c r="G89" s="87"/>
    </row>
    <row r="90">
      <c r="C90" s="103">
        <f>SUM(C87:C89)</f>
        <v>50000</v>
      </c>
      <c r="G90" s="68">
        <f>SUM(G87:G89)</f>
        <v>0</v>
      </c>
    </row>
    <row r="93">
      <c r="A93" s="85" t="s">
        <v>243</v>
      </c>
      <c r="B93" s="63"/>
      <c r="C93" s="63"/>
      <c r="D93" s="63"/>
      <c r="E93" s="63"/>
      <c r="F93" s="63"/>
      <c r="G93" s="64"/>
    </row>
    <row r="94">
      <c r="A94" s="86" t="s">
        <v>10</v>
      </c>
      <c r="B94" s="86" t="s">
        <v>162</v>
      </c>
      <c r="C94" s="86" t="s">
        <v>3</v>
      </c>
      <c r="D94" s="87"/>
      <c r="E94" s="86" t="s">
        <v>10</v>
      </c>
      <c r="F94" s="86" t="s">
        <v>164</v>
      </c>
      <c r="G94" s="86" t="s">
        <v>3</v>
      </c>
    </row>
    <row r="95">
      <c r="A95" s="89" t="s">
        <v>244</v>
      </c>
      <c r="B95" s="6" t="s">
        <v>245</v>
      </c>
      <c r="C95" s="94">
        <v>15000.0</v>
      </c>
      <c r="D95" s="87"/>
      <c r="E95" s="87"/>
      <c r="F95" s="87"/>
      <c r="G95" s="87"/>
    </row>
    <row r="96">
      <c r="A96" s="87"/>
      <c r="B96" s="87"/>
      <c r="C96" s="87"/>
      <c r="D96" s="87"/>
      <c r="E96" s="87"/>
      <c r="F96" s="87"/>
      <c r="G96" s="87"/>
    </row>
    <row r="97">
      <c r="A97" s="87"/>
      <c r="B97" s="87"/>
      <c r="C97" s="87"/>
      <c r="D97" s="87"/>
      <c r="E97" s="87"/>
      <c r="F97" s="87"/>
      <c r="G97" s="87"/>
    </row>
    <row r="98">
      <c r="G98" s="68">
        <f>SUM(G95:G97)</f>
        <v>0</v>
      </c>
    </row>
    <row r="101">
      <c r="A101" s="85" t="s">
        <v>247</v>
      </c>
      <c r="B101" s="63"/>
      <c r="C101" s="63"/>
      <c r="D101" s="63"/>
      <c r="E101" s="63"/>
      <c r="F101" s="63"/>
      <c r="G101" s="64"/>
    </row>
    <row r="102">
      <c r="A102" s="86" t="s">
        <v>10</v>
      </c>
      <c r="B102" s="86" t="s">
        <v>162</v>
      </c>
      <c r="C102" s="86" t="s">
        <v>3</v>
      </c>
      <c r="D102" s="87"/>
      <c r="E102" s="86" t="s">
        <v>10</v>
      </c>
      <c r="F102" s="86" t="s">
        <v>164</v>
      </c>
      <c r="G102" s="86" t="s">
        <v>3</v>
      </c>
    </row>
    <row r="103">
      <c r="A103" s="89" t="s">
        <v>253</v>
      </c>
      <c r="B103" s="6" t="s">
        <v>254</v>
      </c>
      <c r="C103" s="94">
        <v>7000.0</v>
      </c>
      <c r="D103" s="87"/>
      <c r="E103" s="87"/>
      <c r="F103" s="87"/>
      <c r="G103" s="87"/>
    </row>
    <row r="104">
      <c r="A104" s="87"/>
      <c r="B104" s="87"/>
      <c r="C104" s="87"/>
      <c r="D104" s="87"/>
      <c r="E104" s="87"/>
      <c r="F104" s="87"/>
      <c r="G104" s="87"/>
    </row>
    <row r="105">
      <c r="A105" s="87"/>
      <c r="B105" s="87"/>
      <c r="C105" s="87"/>
      <c r="D105" s="87"/>
      <c r="E105" s="87"/>
      <c r="F105" s="87"/>
      <c r="G105" s="87"/>
    </row>
    <row r="106">
      <c r="G106" s="68">
        <f>SUM(G103:G105)</f>
        <v>0</v>
      </c>
    </row>
  </sheetData>
  <mergeCells count="13">
    <mergeCell ref="A59:G59"/>
    <mergeCell ref="A68:G68"/>
    <mergeCell ref="A77:G77"/>
    <mergeCell ref="A85:G85"/>
    <mergeCell ref="A93:G93"/>
    <mergeCell ref="A101:G101"/>
    <mergeCell ref="A2:G2"/>
    <mergeCell ref="A10:G10"/>
    <mergeCell ref="A18:G18"/>
    <mergeCell ref="A26:G26"/>
    <mergeCell ref="A34:G34"/>
    <mergeCell ref="A42:G42"/>
    <mergeCell ref="A50:G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63"/>
    <col customWidth="1" min="3" max="3" width="20.63"/>
    <col customWidth="1" min="4" max="4" width="15.88"/>
    <col customWidth="1" min="5" max="5" width="12.25"/>
  </cols>
  <sheetData>
    <row r="1">
      <c r="A1" s="111" t="s">
        <v>256</v>
      </c>
      <c r="B1" s="63"/>
      <c r="C1" s="63"/>
      <c r="D1" s="63"/>
      <c r="E1" s="63"/>
      <c r="F1" s="63"/>
      <c r="G1" s="64"/>
    </row>
    <row r="4">
      <c r="A4" s="112" t="s">
        <v>257</v>
      </c>
      <c r="B4" s="113" t="s">
        <v>258</v>
      </c>
    </row>
    <row r="5">
      <c r="A5" s="114" t="s">
        <v>259</v>
      </c>
      <c r="B5" s="115">
        <v>46091.0</v>
      </c>
    </row>
    <row r="6">
      <c r="A6" s="112" t="s">
        <v>261</v>
      </c>
      <c r="B6" s="113" t="s">
        <v>87</v>
      </c>
    </row>
    <row r="7">
      <c r="A7" s="114" t="s">
        <v>262</v>
      </c>
      <c r="B7" s="116" t="s">
        <v>263</v>
      </c>
    </row>
    <row r="8">
      <c r="A8" s="114" t="s">
        <v>264</v>
      </c>
      <c r="B8" s="116" t="s">
        <v>265</v>
      </c>
    </row>
    <row r="11">
      <c r="A11" s="117" t="s">
        <v>266</v>
      </c>
      <c r="B11" s="117" t="s">
        <v>267</v>
      </c>
      <c r="C11" s="117" t="s">
        <v>268</v>
      </c>
      <c r="D11" s="117" t="s">
        <v>269</v>
      </c>
      <c r="E11" s="117" t="s">
        <v>270</v>
      </c>
      <c r="F11" s="118" t="s">
        <v>271</v>
      </c>
      <c r="G11" s="118" t="s">
        <v>272</v>
      </c>
    </row>
    <row r="12">
      <c r="A12" s="119">
        <v>1.0</v>
      </c>
      <c r="B12" s="119" t="s">
        <v>273</v>
      </c>
      <c r="C12" s="119">
        <v>1.0</v>
      </c>
      <c r="D12" s="119">
        <v>260500.0</v>
      </c>
      <c r="E12" s="119">
        <v>260500.0</v>
      </c>
      <c r="F12" s="120">
        <v>208000.0</v>
      </c>
      <c r="G12" s="120">
        <f>E12-F12</f>
        <v>52500</v>
      </c>
    </row>
    <row r="13">
      <c r="A13" s="122" t="s">
        <v>277</v>
      </c>
      <c r="B13" s="123"/>
      <c r="C13" s="123"/>
      <c r="D13" s="124"/>
      <c r="E13" s="125">
        <v>260500.0</v>
      </c>
    </row>
    <row r="14">
      <c r="A14" s="126"/>
      <c r="B14" s="126"/>
      <c r="C14" s="127"/>
      <c r="D14" s="128" t="s">
        <v>280</v>
      </c>
      <c r="E14" s="129">
        <v>20500.0</v>
      </c>
    </row>
    <row r="15">
      <c r="A15" s="126"/>
      <c r="B15" s="126"/>
      <c r="C15" s="127"/>
      <c r="D15" s="130" t="s">
        <v>281</v>
      </c>
      <c r="E15" s="119">
        <v>240000.0</v>
      </c>
    </row>
    <row r="19">
      <c r="A19" s="131" t="s">
        <v>29</v>
      </c>
      <c r="B19" s="131" t="s">
        <v>13</v>
      </c>
      <c r="C19" s="132" t="s">
        <v>283</v>
      </c>
      <c r="D19" s="132" t="s">
        <v>285</v>
      </c>
    </row>
    <row r="20">
      <c r="A20" s="133" t="s">
        <v>42</v>
      </c>
      <c r="B20" s="133" t="s">
        <v>44</v>
      </c>
      <c r="C20" s="133">
        <v>5200.0</v>
      </c>
      <c r="D20" s="133">
        <v>1312.5</v>
      </c>
    </row>
    <row r="21">
      <c r="A21" s="134" t="s">
        <v>47</v>
      </c>
      <c r="B21" s="134" t="s">
        <v>44</v>
      </c>
      <c r="C21" s="134">
        <v>5200.0</v>
      </c>
      <c r="D21" s="134">
        <v>1312.5</v>
      </c>
    </row>
    <row r="22">
      <c r="A22" s="133" t="s">
        <v>51</v>
      </c>
      <c r="B22" s="133" t="s">
        <v>44</v>
      </c>
      <c r="C22" s="133">
        <v>5200.0</v>
      </c>
      <c r="D22" s="133">
        <v>1312.5</v>
      </c>
    </row>
    <row r="23">
      <c r="A23" s="134" t="s">
        <v>55</v>
      </c>
      <c r="B23" s="134" t="s">
        <v>23</v>
      </c>
      <c r="C23" s="134">
        <v>5200.0</v>
      </c>
      <c r="D23" s="134">
        <v>1312.5</v>
      </c>
    </row>
    <row r="24">
      <c r="A24" s="133" t="s">
        <v>56</v>
      </c>
      <c r="B24" s="133" t="s">
        <v>23</v>
      </c>
      <c r="C24" s="133">
        <v>5200.0</v>
      </c>
      <c r="D24" s="133">
        <v>1312.5</v>
      </c>
    </row>
    <row r="25">
      <c r="A25" s="134" t="s">
        <v>57</v>
      </c>
      <c r="B25" s="134" t="s">
        <v>58</v>
      </c>
      <c r="C25" s="134">
        <v>5200.0</v>
      </c>
      <c r="D25" s="134">
        <v>1312.5</v>
      </c>
    </row>
    <row r="26">
      <c r="A26" s="133" t="s">
        <v>60</v>
      </c>
      <c r="B26" s="133" t="s">
        <v>58</v>
      </c>
      <c r="C26" s="133">
        <v>5200.0</v>
      </c>
      <c r="D26" s="133">
        <v>1312.5</v>
      </c>
    </row>
    <row r="27">
      <c r="A27" s="134" t="s">
        <v>61</v>
      </c>
      <c r="B27" s="134" t="s">
        <v>62</v>
      </c>
      <c r="C27" s="134">
        <v>5200.0</v>
      </c>
      <c r="D27" s="134">
        <v>1312.5</v>
      </c>
    </row>
    <row r="28">
      <c r="A28" s="133" t="s">
        <v>63</v>
      </c>
      <c r="B28" s="133" t="s">
        <v>62</v>
      </c>
      <c r="C28" s="133">
        <v>5200.0</v>
      </c>
      <c r="D28" s="133">
        <v>1312.5</v>
      </c>
    </row>
    <row r="29">
      <c r="A29" s="134" t="s">
        <v>65</v>
      </c>
      <c r="B29" s="134" t="s">
        <v>62</v>
      </c>
      <c r="C29" s="134">
        <v>5200.0</v>
      </c>
      <c r="D29" s="134">
        <v>1312.5</v>
      </c>
    </row>
    <row r="30">
      <c r="A30" s="133" t="s">
        <v>66</v>
      </c>
      <c r="B30" s="133" t="s">
        <v>62</v>
      </c>
      <c r="C30" s="133">
        <v>5200.0</v>
      </c>
      <c r="D30" s="133">
        <v>1312.5</v>
      </c>
    </row>
    <row r="31">
      <c r="A31" s="134" t="s">
        <v>67</v>
      </c>
      <c r="B31" s="134" t="s">
        <v>68</v>
      </c>
      <c r="C31" s="134">
        <v>5200.0</v>
      </c>
      <c r="D31" s="134">
        <v>1312.5</v>
      </c>
    </row>
    <row r="32">
      <c r="A32" s="133" t="s">
        <v>69</v>
      </c>
      <c r="B32" s="133" t="s">
        <v>70</v>
      </c>
      <c r="C32" s="133">
        <v>5200.0</v>
      </c>
      <c r="D32" s="133">
        <v>1312.5</v>
      </c>
    </row>
    <row r="33">
      <c r="A33" s="134" t="s">
        <v>72</v>
      </c>
      <c r="B33" s="134" t="s">
        <v>70</v>
      </c>
      <c r="C33" s="134">
        <v>5200.0</v>
      </c>
      <c r="D33" s="134">
        <v>1312.5</v>
      </c>
    </row>
    <row r="34">
      <c r="A34" s="133" t="s">
        <v>73</v>
      </c>
      <c r="B34" s="133" t="s">
        <v>70</v>
      </c>
      <c r="C34" s="133">
        <v>5200.0</v>
      </c>
      <c r="D34" s="133">
        <v>1312.5</v>
      </c>
    </row>
    <row r="35">
      <c r="A35" s="134" t="s">
        <v>74</v>
      </c>
      <c r="B35" s="134" t="s">
        <v>37</v>
      </c>
      <c r="C35" s="134">
        <v>5200.0</v>
      </c>
      <c r="D35" s="134">
        <v>1312.5</v>
      </c>
    </row>
    <row r="36">
      <c r="A36" s="133" t="s">
        <v>76</v>
      </c>
      <c r="B36" s="133" t="s">
        <v>37</v>
      </c>
      <c r="C36" s="133">
        <v>5200.0</v>
      </c>
      <c r="D36" s="133">
        <v>1312.5</v>
      </c>
    </row>
    <row r="37">
      <c r="A37" s="134" t="s">
        <v>80</v>
      </c>
      <c r="B37" s="134" t="s">
        <v>81</v>
      </c>
      <c r="C37" s="134">
        <v>5200.0</v>
      </c>
      <c r="D37" s="134">
        <v>1312.5</v>
      </c>
    </row>
    <row r="38">
      <c r="A38" s="133" t="s">
        <v>82</v>
      </c>
      <c r="B38" s="133" t="s">
        <v>37</v>
      </c>
      <c r="C38" s="133">
        <v>5200.0</v>
      </c>
      <c r="D38" s="133">
        <v>1312.5</v>
      </c>
    </row>
    <row r="39">
      <c r="A39" s="134" t="s">
        <v>83</v>
      </c>
      <c r="B39" s="134" t="s">
        <v>84</v>
      </c>
      <c r="C39" s="134">
        <v>5200.0</v>
      </c>
      <c r="D39" s="134">
        <v>1312.5</v>
      </c>
    </row>
    <row r="40">
      <c r="A40" s="133" t="s">
        <v>89</v>
      </c>
      <c r="B40" s="133" t="s">
        <v>84</v>
      </c>
      <c r="C40" s="133">
        <v>5200.0</v>
      </c>
      <c r="D40" s="133">
        <v>1312.5</v>
      </c>
    </row>
    <row r="41">
      <c r="A41" s="134" t="s">
        <v>90</v>
      </c>
      <c r="B41" s="134" t="s">
        <v>84</v>
      </c>
      <c r="C41" s="134">
        <v>5200.0</v>
      </c>
      <c r="D41" s="134">
        <v>1312.5</v>
      </c>
    </row>
    <row r="42">
      <c r="A42" s="133" t="s">
        <v>91</v>
      </c>
      <c r="B42" s="133" t="s">
        <v>92</v>
      </c>
      <c r="C42" s="133">
        <v>5200.0</v>
      </c>
      <c r="D42" s="133">
        <v>1312.5</v>
      </c>
    </row>
    <row r="43">
      <c r="A43" s="134" t="s">
        <v>94</v>
      </c>
      <c r="B43" s="134" t="s">
        <v>92</v>
      </c>
      <c r="C43" s="134">
        <v>5200.0</v>
      </c>
      <c r="D43" s="134">
        <v>1312.5</v>
      </c>
    </row>
    <row r="44">
      <c r="A44" s="133" t="s">
        <v>96</v>
      </c>
      <c r="B44" s="133" t="s">
        <v>92</v>
      </c>
      <c r="C44" s="133">
        <v>5200.0</v>
      </c>
      <c r="D44" s="133">
        <v>1312.5</v>
      </c>
    </row>
    <row r="45">
      <c r="A45" s="134" t="s">
        <v>97</v>
      </c>
      <c r="B45" s="134" t="s">
        <v>46</v>
      </c>
      <c r="C45" s="134">
        <v>5200.0</v>
      </c>
      <c r="D45" s="134">
        <v>1312.5</v>
      </c>
    </row>
    <row r="46">
      <c r="A46" s="133" t="s">
        <v>98</v>
      </c>
      <c r="B46" s="133" t="s">
        <v>46</v>
      </c>
      <c r="C46" s="133">
        <v>5200.0</v>
      </c>
      <c r="D46" s="133">
        <v>1312.5</v>
      </c>
    </row>
    <row r="47">
      <c r="A47" s="134" t="s">
        <v>99</v>
      </c>
      <c r="B47" s="134" t="s">
        <v>77</v>
      </c>
      <c r="C47" s="134">
        <v>5200.0</v>
      </c>
      <c r="D47" s="134">
        <v>1312.5</v>
      </c>
    </row>
    <row r="48">
      <c r="A48" s="133" t="s">
        <v>101</v>
      </c>
      <c r="B48" s="133" t="s">
        <v>102</v>
      </c>
      <c r="C48" s="133">
        <v>5200.0</v>
      </c>
      <c r="D48" s="133">
        <v>1312.5</v>
      </c>
    </row>
    <row r="49">
      <c r="A49" s="134" t="s">
        <v>103</v>
      </c>
      <c r="B49" s="134" t="s">
        <v>77</v>
      </c>
      <c r="C49" s="134">
        <v>5200.0</v>
      </c>
      <c r="D49" s="134">
        <v>1312.5</v>
      </c>
    </row>
    <row r="50">
      <c r="A50" s="133" t="s">
        <v>105</v>
      </c>
      <c r="B50" s="133" t="s">
        <v>106</v>
      </c>
      <c r="C50" s="133">
        <v>5200.0</v>
      </c>
      <c r="D50" s="133">
        <v>1312.5</v>
      </c>
    </row>
    <row r="51">
      <c r="A51" s="134" t="s">
        <v>107</v>
      </c>
      <c r="B51" s="134" t="s">
        <v>108</v>
      </c>
      <c r="C51" s="134">
        <v>5200.0</v>
      </c>
      <c r="D51" s="134">
        <v>1312.5</v>
      </c>
    </row>
    <row r="52">
      <c r="A52" s="133" t="s">
        <v>109</v>
      </c>
      <c r="B52" s="133" t="s">
        <v>77</v>
      </c>
      <c r="C52" s="133">
        <v>5200.0</v>
      </c>
      <c r="D52" s="133">
        <v>1312.5</v>
      </c>
    </row>
    <row r="53">
      <c r="A53" s="134" t="s">
        <v>110</v>
      </c>
      <c r="B53" s="134" t="s">
        <v>77</v>
      </c>
      <c r="C53" s="134">
        <v>5200.0</v>
      </c>
      <c r="D53" s="134">
        <v>1312.5</v>
      </c>
    </row>
    <row r="54">
      <c r="A54" s="133" t="s">
        <v>111</v>
      </c>
      <c r="B54" s="133" t="s">
        <v>113</v>
      </c>
      <c r="C54" s="133">
        <v>5200.0</v>
      </c>
      <c r="D54" s="133">
        <v>1312.5</v>
      </c>
    </row>
    <row r="55">
      <c r="A55" s="134" t="s">
        <v>119</v>
      </c>
      <c r="B55" s="134" t="s">
        <v>120</v>
      </c>
      <c r="C55" s="134">
        <v>5200.0</v>
      </c>
      <c r="D55" s="134">
        <v>1312.5</v>
      </c>
    </row>
    <row r="56">
      <c r="A56" s="133" t="s">
        <v>121</v>
      </c>
      <c r="B56" s="133" t="s">
        <v>58</v>
      </c>
      <c r="C56" s="133">
        <v>5200.0</v>
      </c>
      <c r="D56" s="133">
        <v>1312.5</v>
      </c>
    </row>
    <row r="57">
      <c r="A57" s="134" t="s">
        <v>123</v>
      </c>
      <c r="B57" s="134" t="s">
        <v>58</v>
      </c>
      <c r="C57" s="134">
        <v>5200.0</v>
      </c>
      <c r="D57" s="134">
        <v>1312.5</v>
      </c>
    </row>
    <row r="58">
      <c r="A58" s="133" t="s">
        <v>124</v>
      </c>
      <c r="B58" s="133" t="s">
        <v>23</v>
      </c>
      <c r="C58" s="133">
        <v>5200.0</v>
      </c>
      <c r="D58" s="133">
        <v>1312.5</v>
      </c>
    </row>
    <row r="59">
      <c r="A59" s="134" t="s">
        <v>126</v>
      </c>
      <c r="B59" s="134" t="s">
        <v>23</v>
      </c>
      <c r="C59" s="134">
        <v>5200.0</v>
      </c>
      <c r="D59" s="134">
        <v>1312.5</v>
      </c>
    </row>
    <row r="60">
      <c r="A60" s="144" t="s">
        <v>255</v>
      </c>
      <c r="B60" s="145"/>
      <c r="C60" s="146">
        <f t="shared" ref="C60:D60" si="1">SUM(C20:C59)</f>
        <v>208000</v>
      </c>
      <c r="D60" s="146">
        <f t="shared" si="1"/>
        <v>52500</v>
      </c>
    </row>
    <row r="65">
      <c r="A65" s="147" t="s">
        <v>307</v>
      </c>
      <c r="B65" s="63"/>
      <c r="C65" s="63"/>
      <c r="D65" s="63"/>
      <c r="E65" s="148"/>
      <c r="F65" s="149"/>
    </row>
    <row r="66">
      <c r="A66" s="150" t="s">
        <v>309</v>
      </c>
      <c r="B66" s="151" t="s">
        <v>310</v>
      </c>
      <c r="C66" s="151" t="s">
        <v>311</v>
      </c>
      <c r="D66" s="147" t="s">
        <v>312</v>
      </c>
      <c r="E66" s="148"/>
      <c r="F66" s="149"/>
    </row>
    <row r="67">
      <c r="A67" s="152">
        <v>46113.0</v>
      </c>
      <c r="B67" s="120">
        <v>10000.0</v>
      </c>
      <c r="C67" s="119">
        <f t="shared" ref="C67:C90" si="2">240000-SUM(B44:B67)</f>
        <v>230000</v>
      </c>
      <c r="D67" s="1" t="s">
        <v>313</v>
      </c>
      <c r="E67" s="153"/>
      <c r="F67" s="154"/>
    </row>
    <row r="68">
      <c r="A68" s="152">
        <v>46143.0</v>
      </c>
      <c r="B68" s="120">
        <v>10000.0</v>
      </c>
      <c r="C68" s="119">
        <f t="shared" si="2"/>
        <v>220000</v>
      </c>
      <c r="D68" s="51" t="s">
        <v>314</v>
      </c>
      <c r="E68" s="153"/>
      <c r="F68" s="154"/>
    </row>
    <row r="69">
      <c r="A69" s="152">
        <v>46174.0</v>
      </c>
      <c r="B69" s="120">
        <v>10000.0</v>
      </c>
      <c r="C69" s="119">
        <f t="shared" si="2"/>
        <v>210000</v>
      </c>
      <c r="D69" s="155" t="s">
        <v>315</v>
      </c>
      <c r="E69" s="153"/>
      <c r="F69" s="154"/>
    </row>
    <row r="70">
      <c r="A70" s="152">
        <v>46204.0</v>
      </c>
      <c r="B70" s="120"/>
      <c r="C70" s="119">
        <f t="shared" si="2"/>
        <v>210000</v>
      </c>
      <c r="D70" s="156"/>
      <c r="E70" s="153"/>
      <c r="F70" s="154"/>
    </row>
    <row r="71">
      <c r="A71" s="152">
        <v>46235.0</v>
      </c>
      <c r="B71" s="120"/>
      <c r="C71" s="119">
        <f t="shared" si="2"/>
        <v>210000</v>
      </c>
      <c r="D71" s="156"/>
      <c r="E71" s="153"/>
      <c r="F71" s="154"/>
    </row>
    <row r="72">
      <c r="A72" s="152">
        <v>46266.0</v>
      </c>
      <c r="B72" s="120"/>
      <c r="C72" s="119">
        <f t="shared" si="2"/>
        <v>210000</v>
      </c>
      <c r="D72" s="156"/>
      <c r="E72" s="153"/>
      <c r="F72" s="154"/>
    </row>
    <row r="73">
      <c r="A73" s="152">
        <v>46296.0</v>
      </c>
      <c r="B73" s="120"/>
      <c r="C73" s="119">
        <f t="shared" si="2"/>
        <v>210000</v>
      </c>
      <c r="D73" s="156"/>
      <c r="E73" s="153"/>
      <c r="F73" s="154"/>
    </row>
    <row r="74">
      <c r="A74" s="152">
        <v>46327.0</v>
      </c>
      <c r="B74" s="120"/>
      <c r="C74" s="119">
        <f t="shared" si="2"/>
        <v>210000</v>
      </c>
      <c r="D74" s="156"/>
      <c r="E74" s="153"/>
      <c r="F74" s="154"/>
    </row>
    <row r="75">
      <c r="A75" s="152">
        <v>46357.0</v>
      </c>
      <c r="B75" s="120"/>
      <c r="C75" s="119">
        <f t="shared" si="2"/>
        <v>210000</v>
      </c>
      <c r="D75" s="156"/>
      <c r="E75" s="153"/>
      <c r="F75" s="154"/>
    </row>
    <row r="76">
      <c r="A76" s="152">
        <v>46388.0</v>
      </c>
      <c r="B76" s="120"/>
      <c r="C76" s="119">
        <f t="shared" si="2"/>
        <v>210000</v>
      </c>
      <c r="D76" s="156"/>
      <c r="E76" s="153"/>
      <c r="F76" s="154"/>
    </row>
    <row r="77">
      <c r="A77" s="152">
        <v>46419.0</v>
      </c>
      <c r="B77" s="120"/>
      <c r="C77" s="119">
        <f t="shared" si="2"/>
        <v>210000</v>
      </c>
      <c r="D77" s="156"/>
      <c r="E77" s="153"/>
      <c r="F77" s="154"/>
    </row>
    <row r="78">
      <c r="A78" s="152">
        <v>46447.0</v>
      </c>
      <c r="B78" s="120"/>
      <c r="C78" s="119">
        <f t="shared" si="2"/>
        <v>210000</v>
      </c>
      <c r="D78" s="156"/>
      <c r="E78" s="153"/>
      <c r="F78" s="154"/>
    </row>
    <row r="79">
      <c r="A79" s="152">
        <v>46478.0</v>
      </c>
      <c r="B79" s="120"/>
      <c r="C79" s="119">
        <f t="shared" si="2"/>
        <v>210000</v>
      </c>
      <c r="D79" s="156"/>
      <c r="E79" s="153"/>
      <c r="F79" s="154"/>
    </row>
    <row r="80">
      <c r="A80" s="152">
        <v>46508.0</v>
      </c>
      <c r="B80" s="120"/>
      <c r="C80" s="119">
        <f t="shared" si="2"/>
        <v>210000</v>
      </c>
      <c r="D80" s="156"/>
      <c r="E80" s="153"/>
      <c r="F80" s="154"/>
    </row>
    <row r="81">
      <c r="A81" s="152">
        <v>46539.0</v>
      </c>
      <c r="B81" s="120"/>
      <c r="C81" s="119">
        <f t="shared" si="2"/>
        <v>210000</v>
      </c>
      <c r="D81" s="156"/>
      <c r="E81" s="153"/>
      <c r="F81" s="154"/>
    </row>
    <row r="82">
      <c r="A82" s="152">
        <v>46569.0</v>
      </c>
      <c r="B82" s="120"/>
      <c r="C82" s="119">
        <f t="shared" si="2"/>
        <v>210000</v>
      </c>
      <c r="D82" s="156"/>
      <c r="E82" s="153"/>
      <c r="F82" s="154"/>
    </row>
    <row r="83">
      <c r="A83" s="152">
        <v>46600.0</v>
      </c>
      <c r="B83" s="120"/>
      <c r="C83" s="119">
        <f t="shared" si="2"/>
        <v>210000</v>
      </c>
      <c r="D83" s="156"/>
      <c r="E83" s="153"/>
      <c r="F83" s="154"/>
    </row>
    <row r="84">
      <c r="A84" s="152">
        <v>46631.0</v>
      </c>
      <c r="B84" s="120"/>
      <c r="C84" s="119">
        <f t="shared" si="2"/>
        <v>210000</v>
      </c>
      <c r="D84" s="156"/>
      <c r="E84" s="153"/>
      <c r="F84" s="154"/>
    </row>
    <row r="85">
      <c r="A85" s="152">
        <v>46661.0</v>
      </c>
      <c r="B85" s="120"/>
      <c r="C85" s="119">
        <f t="shared" si="2"/>
        <v>210000</v>
      </c>
      <c r="D85" s="156"/>
      <c r="E85" s="153"/>
      <c r="F85" s="154"/>
    </row>
    <row r="86">
      <c r="A86" s="152">
        <v>46692.0</v>
      </c>
      <c r="B86" s="120"/>
      <c r="C86" s="119">
        <f t="shared" si="2"/>
        <v>210000</v>
      </c>
      <c r="D86" s="156"/>
      <c r="E86" s="153"/>
      <c r="F86" s="154"/>
    </row>
    <row r="87">
      <c r="A87" s="152">
        <v>46722.0</v>
      </c>
      <c r="B87" s="120"/>
      <c r="C87" s="119">
        <f t="shared" si="2"/>
        <v>210000</v>
      </c>
      <c r="D87" s="156"/>
      <c r="E87" s="153"/>
      <c r="F87" s="154"/>
    </row>
    <row r="88">
      <c r="A88" s="152">
        <v>46753.0</v>
      </c>
      <c r="B88" s="120"/>
      <c r="C88" s="119">
        <f t="shared" si="2"/>
        <v>210000</v>
      </c>
      <c r="D88" s="156"/>
      <c r="E88" s="153"/>
      <c r="F88" s="154"/>
    </row>
    <row r="89">
      <c r="A89" s="152">
        <v>46784.0</v>
      </c>
      <c r="B89" s="120"/>
      <c r="C89" s="119">
        <f t="shared" si="2"/>
        <v>210000</v>
      </c>
      <c r="D89" s="156"/>
      <c r="E89" s="153"/>
      <c r="F89" s="154"/>
    </row>
    <row r="90">
      <c r="A90" s="152">
        <v>46813.0</v>
      </c>
      <c r="B90" s="120"/>
      <c r="C90" s="120">
        <f t="shared" si="2"/>
        <v>210000</v>
      </c>
      <c r="D90" s="163" t="s">
        <v>318</v>
      </c>
      <c r="E90" s="153"/>
      <c r="F90" s="154"/>
    </row>
    <row r="91">
      <c r="A91" s="6" t="s">
        <v>321</v>
      </c>
      <c r="B91" s="53">
        <f>SUM(B66:B90)</f>
        <v>30000</v>
      </c>
    </row>
  </sheetData>
  <mergeCells count="4">
    <mergeCell ref="A1:G1"/>
    <mergeCell ref="A13:D13"/>
    <mergeCell ref="A60:B60"/>
    <mergeCell ref="A65:D6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38"/>
    <col customWidth="1" min="3" max="3" width="20.63"/>
    <col customWidth="1" min="4" max="4" width="17.5"/>
  </cols>
  <sheetData>
    <row r="1">
      <c r="A1" s="111" t="s">
        <v>290</v>
      </c>
      <c r="B1" s="63"/>
      <c r="C1" s="63"/>
      <c r="D1" s="63"/>
      <c r="E1" s="63"/>
      <c r="F1" s="63"/>
      <c r="G1" s="64"/>
    </row>
    <row r="4">
      <c r="A4" s="112" t="s">
        <v>257</v>
      </c>
      <c r="B4" s="113" t="s">
        <v>292</v>
      </c>
    </row>
    <row r="5">
      <c r="A5" s="114" t="s">
        <v>259</v>
      </c>
      <c r="B5" s="135">
        <v>46117.0</v>
      </c>
    </row>
    <row r="6">
      <c r="A6" s="112" t="s">
        <v>261</v>
      </c>
      <c r="B6" s="113" t="s">
        <v>294</v>
      </c>
    </row>
    <row r="7">
      <c r="A7" s="114" t="s">
        <v>262</v>
      </c>
      <c r="B7" s="116">
        <v>1.511367388E9</v>
      </c>
    </row>
    <row r="8">
      <c r="A8" s="114" t="s">
        <v>264</v>
      </c>
      <c r="B8" s="116" t="s">
        <v>297</v>
      </c>
    </row>
    <row r="11">
      <c r="A11" s="117" t="s">
        <v>266</v>
      </c>
      <c r="B11" s="117" t="s">
        <v>267</v>
      </c>
      <c r="C11" s="117" t="s">
        <v>268</v>
      </c>
      <c r="D11" s="117" t="s">
        <v>269</v>
      </c>
      <c r="E11" s="117" t="s">
        <v>270</v>
      </c>
      <c r="F11" s="118" t="s">
        <v>271</v>
      </c>
      <c r="G11" s="118" t="s">
        <v>272</v>
      </c>
    </row>
    <row r="12">
      <c r="A12" s="119">
        <v>1.0</v>
      </c>
      <c r="B12" s="137" t="s">
        <v>301</v>
      </c>
      <c r="C12" s="137">
        <v>1.0</v>
      </c>
      <c r="D12" s="137" t="s">
        <v>302</v>
      </c>
      <c r="E12" s="137" t="s">
        <v>302</v>
      </c>
      <c r="F12" s="129" t="s">
        <v>303</v>
      </c>
      <c r="G12" s="129">
        <v>21000.0</v>
      </c>
    </row>
    <row r="13">
      <c r="A13" s="139" t="s">
        <v>304</v>
      </c>
      <c r="B13" s="123"/>
      <c r="C13" s="123"/>
      <c r="D13" s="124"/>
      <c r="E13" s="136" t="s">
        <v>302</v>
      </c>
    </row>
    <row r="14">
      <c r="A14" s="126"/>
      <c r="B14" s="126"/>
      <c r="C14" s="127"/>
      <c r="D14" s="128" t="s">
        <v>280</v>
      </c>
      <c r="E14" s="129">
        <v>2050.0</v>
      </c>
    </row>
    <row r="15">
      <c r="A15" s="126"/>
      <c r="B15" s="126"/>
      <c r="C15" s="127"/>
      <c r="D15" s="130" t="s">
        <v>281</v>
      </c>
      <c r="E15" s="137" t="s">
        <v>305</v>
      </c>
    </row>
    <row r="19">
      <c r="A19" s="131" t="s">
        <v>29</v>
      </c>
      <c r="B19" s="131" t="s">
        <v>13</v>
      </c>
      <c r="C19" s="132" t="s">
        <v>283</v>
      </c>
      <c r="D19" s="132" t="s">
        <v>285</v>
      </c>
    </row>
    <row r="20">
      <c r="A20" s="133" t="s">
        <v>42</v>
      </c>
      <c r="B20" s="133" t="s">
        <v>44</v>
      </c>
      <c r="C20" s="142">
        <v>2040.81</v>
      </c>
      <c r="D20" s="133">
        <v>428.58</v>
      </c>
    </row>
    <row r="21">
      <c r="A21" s="134" t="s">
        <v>47</v>
      </c>
      <c r="B21" s="134" t="s">
        <v>44</v>
      </c>
      <c r="C21" s="143">
        <v>2040.81</v>
      </c>
      <c r="D21" s="134">
        <v>428.58</v>
      </c>
    </row>
    <row r="22">
      <c r="A22" s="133" t="s">
        <v>51</v>
      </c>
      <c r="B22" s="133" t="s">
        <v>44</v>
      </c>
      <c r="C22" s="142">
        <v>2040.81</v>
      </c>
      <c r="D22" s="133">
        <v>428.58</v>
      </c>
    </row>
    <row r="23">
      <c r="A23" s="134" t="s">
        <v>55</v>
      </c>
      <c r="B23" s="134" t="s">
        <v>23</v>
      </c>
      <c r="C23" s="143">
        <v>2040.81</v>
      </c>
      <c r="D23" s="134">
        <v>428.58</v>
      </c>
    </row>
    <row r="24">
      <c r="A24" s="133" t="s">
        <v>56</v>
      </c>
      <c r="B24" s="133" t="s">
        <v>23</v>
      </c>
      <c r="C24" s="142">
        <v>2040.81</v>
      </c>
      <c r="D24" s="133">
        <v>428.58</v>
      </c>
    </row>
    <row r="25">
      <c r="A25" s="134" t="s">
        <v>57</v>
      </c>
      <c r="B25" s="134" t="s">
        <v>58</v>
      </c>
      <c r="C25" s="143">
        <v>2040.81</v>
      </c>
      <c r="D25" s="134">
        <v>428.58</v>
      </c>
    </row>
    <row r="26">
      <c r="A26" s="133" t="s">
        <v>60</v>
      </c>
      <c r="B26" s="133" t="s">
        <v>58</v>
      </c>
      <c r="C26" s="142">
        <v>2040.81</v>
      </c>
      <c r="D26" s="133">
        <v>428.58</v>
      </c>
    </row>
    <row r="27">
      <c r="A27" s="134" t="s">
        <v>61</v>
      </c>
      <c r="B27" s="134" t="s">
        <v>62</v>
      </c>
      <c r="C27" s="143">
        <v>2040.81</v>
      </c>
      <c r="D27" s="134">
        <v>428.58</v>
      </c>
    </row>
    <row r="28">
      <c r="A28" s="133" t="s">
        <v>63</v>
      </c>
      <c r="B28" s="133" t="s">
        <v>62</v>
      </c>
      <c r="C28" s="142">
        <v>2040.81</v>
      </c>
      <c r="D28" s="133">
        <v>428.58</v>
      </c>
    </row>
    <row r="29">
      <c r="A29" s="134" t="s">
        <v>65</v>
      </c>
      <c r="B29" s="134" t="s">
        <v>62</v>
      </c>
      <c r="C29" s="143">
        <v>2040.81</v>
      </c>
      <c r="D29" s="134">
        <v>428.58</v>
      </c>
    </row>
    <row r="30">
      <c r="A30" s="133" t="s">
        <v>66</v>
      </c>
      <c r="B30" s="133" t="s">
        <v>62</v>
      </c>
      <c r="C30" s="142">
        <v>2040.81</v>
      </c>
      <c r="D30" s="133">
        <v>428.58</v>
      </c>
    </row>
    <row r="31">
      <c r="A31" s="134" t="s">
        <v>67</v>
      </c>
      <c r="B31" s="134" t="s">
        <v>68</v>
      </c>
      <c r="C31" s="143">
        <v>2040.81</v>
      </c>
      <c r="D31" s="134">
        <v>428.58</v>
      </c>
    </row>
    <row r="32">
      <c r="A32" s="133" t="s">
        <v>69</v>
      </c>
      <c r="B32" s="133" t="s">
        <v>70</v>
      </c>
      <c r="C32" s="142">
        <v>2040.81</v>
      </c>
      <c r="D32" s="133">
        <v>428.58</v>
      </c>
    </row>
    <row r="33">
      <c r="A33" s="134" t="s">
        <v>72</v>
      </c>
      <c r="B33" s="134" t="s">
        <v>70</v>
      </c>
      <c r="C33" s="143">
        <v>2040.81</v>
      </c>
      <c r="D33" s="134">
        <v>428.58</v>
      </c>
    </row>
    <row r="34">
      <c r="A34" s="133" t="s">
        <v>73</v>
      </c>
      <c r="B34" s="133" t="s">
        <v>70</v>
      </c>
      <c r="C34" s="142">
        <v>2040.81</v>
      </c>
      <c r="D34" s="133">
        <v>428.58</v>
      </c>
    </row>
    <row r="35">
      <c r="A35" s="134" t="s">
        <v>74</v>
      </c>
      <c r="B35" s="134" t="s">
        <v>37</v>
      </c>
      <c r="C35" s="143">
        <v>2040.81</v>
      </c>
      <c r="D35" s="134">
        <v>428.58</v>
      </c>
    </row>
    <row r="36">
      <c r="A36" s="133" t="s">
        <v>76</v>
      </c>
      <c r="B36" s="133" t="s">
        <v>37</v>
      </c>
      <c r="C36" s="142">
        <v>2040.81</v>
      </c>
      <c r="D36" s="133">
        <v>428.58</v>
      </c>
    </row>
    <row r="37">
      <c r="A37" s="134" t="s">
        <v>80</v>
      </c>
      <c r="B37" s="134" t="s">
        <v>81</v>
      </c>
      <c r="C37" s="143">
        <v>2040.81</v>
      </c>
      <c r="D37" s="134">
        <v>428.58</v>
      </c>
    </row>
    <row r="38">
      <c r="A38" s="133" t="s">
        <v>82</v>
      </c>
      <c r="B38" s="133" t="s">
        <v>37</v>
      </c>
      <c r="C38" s="142">
        <v>2040.81</v>
      </c>
      <c r="D38" s="133">
        <v>428.58</v>
      </c>
    </row>
    <row r="39">
      <c r="A39" s="134" t="s">
        <v>83</v>
      </c>
      <c r="B39" s="134" t="s">
        <v>84</v>
      </c>
      <c r="C39" s="143">
        <v>2040.81</v>
      </c>
      <c r="D39" s="134">
        <v>428.58</v>
      </c>
    </row>
    <row r="40">
      <c r="A40" s="133" t="s">
        <v>89</v>
      </c>
      <c r="B40" s="133" t="s">
        <v>84</v>
      </c>
      <c r="C40" s="142">
        <v>2040.81</v>
      </c>
      <c r="D40" s="133">
        <v>428.58</v>
      </c>
    </row>
    <row r="41">
      <c r="A41" s="134" t="s">
        <v>90</v>
      </c>
      <c r="B41" s="134" t="s">
        <v>84</v>
      </c>
      <c r="C41" s="143">
        <v>2040.81</v>
      </c>
      <c r="D41" s="134">
        <v>428.58</v>
      </c>
    </row>
    <row r="42">
      <c r="A42" s="133" t="s">
        <v>91</v>
      </c>
      <c r="B42" s="133" t="s">
        <v>92</v>
      </c>
      <c r="C42" s="142">
        <v>2040.81</v>
      </c>
      <c r="D42" s="133">
        <v>428.58</v>
      </c>
    </row>
    <row r="43">
      <c r="A43" s="134" t="s">
        <v>94</v>
      </c>
      <c r="B43" s="134" t="s">
        <v>92</v>
      </c>
      <c r="C43" s="143">
        <v>2040.81</v>
      </c>
      <c r="D43" s="134">
        <v>428.58</v>
      </c>
    </row>
    <row r="44">
      <c r="A44" s="133" t="s">
        <v>96</v>
      </c>
      <c r="B44" s="133" t="s">
        <v>92</v>
      </c>
      <c r="C44" s="142">
        <v>2040.81</v>
      </c>
      <c r="D44" s="133">
        <v>428.58</v>
      </c>
    </row>
    <row r="45">
      <c r="A45" s="134" t="s">
        <v>97</v>
      </c>
      <c r="B45" s="134" t="s">
        <v>46</v>
      </c>
      <c r="C45" s="143">
        <v>2040.81</v>
      </c>
      <c r="D45" s="134">
        <v>428.58</v>
      </c>
    </row>
    <row r="46">
      <c r="A46" s="133" t="s">
        <v>98</v>
      </c>
      <c r="B46" s="133" t="s">
        <v>46</v>
      </c>
      <c r="C46" s="142">
        <v>2040.81</v>
      </c>
      <c r="D46" s="133">
        <v>428.58</v>
      </c>
    </row>
    <row r="47">
      <c r="A47" s="134" t="s">
        <v>99</v>
      </c>
      <c r="B47" s="134" t="s">
        <v>77</v>
      </c>
      <c r="C47" s="143">
        <v>2040.81</v>
      </c>
      <c r="D47" s="134">
        <v>428.58</v>
      </c>
    </row>
    <row r="48">
      <c r="A48" s="133" t="s">
        <v>101</v>
      </c>
      <c r="B48" s="133" t="s">
        <v>102</v>
      </c>
      <c r="C48" s="142">
        <v>2040.81</v>
      </c>
      <c r="D48" s="133">
        <v>428.58</v>
      </c>
    </row>
    <row r="49">
      <c r="A49" s="134" t="s">
        <v>103</v>
      </c>
      <c r="B49" s="134" t="s">
        <v>77</v>
      </c>
      <c r="C49" s="143">
        <v>2040.81</v>
      </c>
      <c r="D49" s="134">
        <v>428.58</v>
      </c>
    </row>
    <row r="50">
      <c r="A50" s="133" t="s">
        <v>105</v>
      </c>
      <c r="B50" s="133" t="s">
        <v>106</v>
      </c>
      <c r="C50" s="142">
        <v>2040.81</v>
      </c>
      <c r="D50" s="133">
        <v>428.58</v>
      </c>
    </row>
    <row r="51">
      <c r="A51" s="134" t="s">
        <v>107</v>
      </c>
      <c r="B51" s="134" t="s">
        <v>108</v>
      </c>
      <c r="C51" s="143">
        <v>2040.81</v>
      </c>
      <c r="D51" s="134">
        <v>428.58</v>
      </c>
    </row>
    <row r="52">
      <c r="A52" s="133" t="s">
        <v>109</v>
      </c>
      <c r="B52" s="133" t="s">
        <v>77</v>
      </c>
      <c r="C52" s="142">
        <v>2040.81</v>
      </c>
      <c r="D52" s="133">
        <v>428.58</v>
      </c>
    </row>
    <row r="53">
      <c r="A53" s="134" t="s">
        <v>110</v>
      </c>
      <c r="B53" s="134" t="s">
        <v>77</v>
      </c>
      <c r="C53" s="143">
        <v>2040.81</v>
      </c>
      <c r="D53" s="134">
        <v>428.58</v>
      </c>
    </row>
    <row r="54">
      <c r="A54" s="133" t="s">
        <v>111</v>
      </c>
      <c r="B54" s="133" t="s">
        <v>113</v>
      </c>
      <c r="C54" s="142">
        <v>2040.81</v>
      </c>
      <c r="D54" s="133">
        <v>428.58</v>
      </c>
    </row>
    <row r="55">
      <c r="A55" s="134" t="s">
        <v>119</v>
      </c>
      <c r="B55" s="134" t="s">
        <v>120</v>
      </c>
      <c r="C55" s="143">
        <v>2040.81</v>
      </c>
      <c r="D55" s="134">
        <v>428.58</v>
      </c>
    </row>
    <row r="56">
      <c r="A56" s="133" t="s">
        <v>121</v>
      </c>
      <c r="B56" s="133" t="s">
        <v>120</v>
      </c>
      <c r="C56" s="142">
        <v>2040.81</v>
      </c>
      <c r="D56" s="133">
        <v>428.58</v>
      </c>
    </row>
    <row r="57">
      <c r="A57" s="134" t="s">
        <v>123</v>
      </c>
      <c r="B57" s="134" t="s">
        <v>120</v>
      </c>
      <c r="C57" s="143">
        <v>2040.81</v>
      </c>
      <c r="D57" s="134">
        <v>428.58</v>
      </c>
    </row>
    <row r="58">
      <c r="A58" s="133" t="s">
        <v>124</v>
      </c>
      <c r="B58" s="133" t="s">
        <v>120</v>
      </c>
      <c r="C58" s="142">
        <v>2040.81</v>
      </c>
      <c r="D58" s="133">
        <v>428.58</v>
      </c>
    </row>
    <row r="59">
      <c r="A59" s="134" t="s">
        <v>126</v>
      </c>
      <c r="B59" s="134" t="s">
        <v>58</v>
      </c>
      <c r="C59" s="143">
        <v>2040.81</v>
      </c>
      <c r="D59" s="134">
        <v>428.58</v>
      </c>
    </row>
    <row r="60">
      <c r="A60" s="133" t="s">
        <v>127</v>
      </c>
      <c r="B60" s="133" t="s">
        <v>58</v>
      </c>
      <c r="C60" s="142">
        <v>2040.81</v>
      </c>
      <c r="D60" s="133">
        <v>428.58</v>
      </c>
    </row>
    <row r="61">
      <c r="A61" s="134" t="s">
        <v>128</v>
      </c>
      <c r="B61" s="134" t="s">
        <v>62</v>
      </c>
      <c r="C61" s="143">
        <v>2040.81</v>
      </c>
      <c r="D61" s="134">
        <v>428.58</v>
      </c>
    </row>
    <row r="62">
      <c r="A62" s="133" t="s">
        <v>129</v>
      </c>
      <c r="B62" s="133" t="s">
        <v>92</v>
      </c>
      <c r="C62" s="142">
        <v>2040.81</v>
      </c>
      <c r="D62" s="133">
        <v>428.58</v>
      </c>
    </row>
    <row r="63">
      <c r="A63" s="134" t="s">
        <v>130</v>
      </c>
      <c r="B63" s="134" t="s">
        <v>23</v>
      </c>
      <c r="C63" s="143">
        <v>2040.81</v>
      </c>
      <c r="D63" s="134">
        <v>428.58</v>
      </c>
    </row>
    <row r="64">
      <c r="A64" s="133" t="s">
        <v>132</v>
      </c>
      <c r="B64" s="133" t="s">
        <v>23</v>
      </c>
      <c r="C64" s="142">
        <v>2040.81</v>
      </c>
      <c r="D64" s="133">
        <v>428.58</v>
      </c>
    </row>
    <row r="65">
      <c r="A65" s="134" t="s">
        <v>133</v>
      </c>
      <c r="B65" s="134" t="s">
        <v>77</v>
      </c>
      <c r="C65" s="143">
        <v>2040.81</v>
      </c>
      <c r="D65" s="134">
        <v>428.58</v>
      </c>
    </row>
    <row r="66">
      <c r="A66" s="133" t="s">
        <v>134</v>
      </c>
      <c r="B66" s="133" t="s">
        <v>70</v>
      </c>
      <c r="C66" s="142">
        <v>2040.81</v>
      </c>
      <c r="D66" s="133">
        <v>428.58</v>
      </c>
    </row>
    <row r="67">
      <c r="A67" s="134" t="s">
        <v>136</v>
      </c>
      <c r="B67" s="134" t="s">
        <v>70</v>
      </c>
      <c r="C67" s="143">
        <v>2040.81</v>
      </c>
      <c r="D67" s="134">
        <v>428.58</v>
      </c>
    </row>
    <row r="68">
      <c r="A68" s="133" t="s">
        <v>137</v>
      </c>
      <c r="B68" s="133" t="s">
        <v>70</v>
      </c>
      <c r="C68" s="142">
        <v>2040.81</v>
      </c>
      <c r="D68" s="133">
        <v>428.58</v>
      </c>
    </row>
    <row r="69">
      <c r="A69" s="157" t="s">
        <v>255</v>
      </c>
      <c r="B69" s="158"/>
      <c r="C69" s="162">
        <f t="shared" ref="C69:D69" si="1">SUM(C20:C68)</f>
        <v>99999.69</v>
      </c>
      <c r="D69" s="160">
        <f t="shared" si="1"/>
        <v>21000.42</v>
      </c>
    </row>
    <row r="74">
      <c r="A74" s="161" t="s">
        <v>319</v>
      </c>
      <c r="B74" s="63"/>
      <c r="C74" s="63"/>
      <c r="D74" s="63"/>
      <c r="E74" s="148"/>
      <c r="F74" s="149"/>
    </row>
    <row r="75">
      <c r="A75" s="150" t="s">
        <v>309</v>
      </c>
      <c r="B75" s="151" t="s">
        <v>310</v>
      </c>
      <c r="C75" s="151" t="s">
        <v>311</v>
      </c>
      <c r="D75" s="147" t="s">
        <v>312</v>
      </c>
      <c r="E75" s="148"/>
      <c r="F75" s="149"/>
    </row>
    <row r="76">
      <c r="A76" s="152">
        <v>46143.0</v>
      </c>
      <c r="B76" s="120">
        <v>10084.0</v>
      </c>
      <c r="C76" s="119">
        <f t="shared" ref="C76:C87" si="2">121000-Sum(B44:B76)</f>
        <v>110916</v>
      </c>
      <c r="D76" s="155" t="s">
        <v>323</v>
      </c>
      <c r="E76" s="153"/>
      <c r="F76" s="154"/>
    </row>
    <row r="77">
      <c r="A77" s="152">
        <v>46174.0</v>
      </c>
      <c r="B77" s="120">
        <v>10084.0</v>
      </c>
      <c r="C77" s="119">
        <f t="shared" si="2"/>
        <v>100832</v>
      </c>
      <c r="D77" s="155" t="s">
        <v>324</v>
      </c>
      <c r="E77" s="153"/>
      <c r="F77" s="154"/>
    </row>
    <row r="78">
      <c r="A78" s="152">
        <v>46204.0</v>
      </c>
      <c r="B78" s="120">
        <v>10084.0</v>
      </c>
      <c r="C78" s="119">
        <f t="shared" si="2"/>
        <v>90748</v>
      </c>
      <c r="D78" s="50" t="s">
        <v>325</v>
      </c>
      <c r="E78" s="153"/>
      <c r="F78" s="154"/>
    </row>
    <row r="79">
      <c r="A79" s="152">
        <v>46235.0</v>
      </c>
      <c r="B79" s="120">
        <v>10084.0</v>
      </c>
      <c r="C79" s="119">
        <f t="shared" si="2"/>
        <v>80664</v>
      </c>
      <c r="D79" s="155" t="s">
        <v>171</v>
      </c>
      <c r="E79" s="153"/>
      <c r="F79" s="154"/>
    </row>
    <row r="80">
      <c r="A80" s="152">
        <v>46266.0</v>
      </c>
      <c r="B80" s="120"/>
      <c r="C80" s="119">
        <f t="shared" si="2"/>
        <v>80664</v>
      </c>
      <c r="D80" s="156"/>
      <c r="E80" s="153"/>
      <c r="F80" s="154"/>
    </row>
    <row r="81">
      <c r="A81" s="152">
        <v>46296.0</v>
      </c>
      <c r="B81" s="120"/>
      <c r="C81" s="119">
        <f t="shared" si="2"/>
        <v>80664</v>
      </c>
      <c r="D81" s="156"/>
      <c r="E81" s="153"/>
      <c r="F81" s="154"/>
    </row>
    <row r="82">
      <c r="A82" s="152">
        <v>46327.0</v>
      </c>
      <c r="B82" s="120"/>
      <c r="C82" s="119">
        <f t="shared" si="2"/>
        <v>80664</v>
      </c>
      <c r="D82" s="156"/>
      <c r="E82" s="153"/>
      <c r="F82" s="154"/>
    </row>
    <row r="83">
      <c r="A83" s="152">
        <v>46357.0</v>
      </c>
      <c r="B83" s="120"/>
      <c r="C83" s="119">
        <f t="shared" si="2"/>
        <v>80664</v>
      </c>
      <c r="D83" s="156"/>
      <c r="E83" s="153"/>
      <c r="F83" s="154"/>
    </row>
    <row r="84">
      <c r="A84" s="152">
        <v>46388.0</v>
      </c>
      <c r="B84" s="120"/>
      <c r="C84" s="119">
        <f t="shared" si="2"/>
        <v>80664</v>
      </c>
      <c r="D84" s="156"/>
      <c r="E84" s="153"/>
      <c r="F84" s="154"/>
    </row>
    <row r="85">
      <c r="A85" s="152">
        <v>46419.0</v>
      </c>
      <c r="B85" s="120"/>
      <c r="C85" s="119">
        <f t="shared" si="2"/>
        <v>80664</v>
      </c>
      <c r="D85" s="156"/>
      <c r="E85" s="153"/>
      <c r="F85" s="154"/>
    </row>
    <row r="86">
      <c r="A86" s="152">
        <v>46447.0</v>
      </c>
      <c r="B86" s="120"/>
      <c r="C86" s="119">
        <f t="shared" si="2"/>
        <v>80664</v>
      </c>
      <c r="D86" s="156"/>
      <c r="E86" s="153"/>
      <c r="F86" s="154"/>
    </row>
    <row r="87">
      <c r="A87" s="152">
        <v>46478.0</v>
      </c>
      <c r="B87" s="120"/>
      <c r="C87" s="119">
        <f t="shared" si="2"/>
        <v>80664</v>
      </c>
      <c r="D87" s="163" t="s">
        <v>318</v>
      </c>
      <c r="E87" s="153"/>
      <c r="F87" s="154"/>
    </row>
    <row r="88">
      <c r="A88" s="6" t="s">
        <v>321</v>
      </c>
      <c r="B88" s="164">
        <f>SUM(B76:B87)</f>
        <v>40336</v>
      </c>
    </row>
  </sheetData>
  <mergeCells count="4">
    <mergeCell ref="A1:G1"/>
    <mergeCell ref="A13:D13"/>
    <mergeCell ref="A69:B69"/>
    <mergeCell ref="A74:D7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63"/>
  </cols>
  <sheetData>
    <row r="1">
      <c r="A1" s="111" t="s">
        <v>288</v>
      </c>
      <c r="B1" s="63"/>
      <c r="C1" s="63"/>
      <c r="D1" s="63"/>
      <c r="E1" s="63"/>
      <c r="F1" s="63"/>
      <c r="G1" s="64"/>
    </row>
    <row r="4">
      <c r="A4" s="112" t="s">
        <v>257</v>
      </c>
      <c r="B4" s="113" t="s">
        <v>289</v>
      </c>
    </row>
    <row r="5">
      <c r="A5" s="114" t="s">
        <v>259</v>
      </c>
      <c r="B5" s="115">
        <v>46118.0</v>
      </c>
    </row>
    <row r="6">
      <c r="A6" s="112" t="s">
        <v>261</v>
      </c>
      <c r="B6" s="113" t="s">
        <v>108</v>
      </c>
    </row>
    <row r="7">
      <c r="A7" s="114" t="s">
        <v>262</v>
      </c>
      <c r="B7" s="116">
        <v>1.84282497E9</v>
      </c>
    </row>
    <row r="8">
      <c r="A8" s="114" t="s">
        <v>264</v>
      </c>
      <c r="B8" s="116" t="s">
        <v>291</v>
      </c>
    </row>
    <row r="11">
      <c r="A11" s="117" t="s">
        <v>266</v>
      </c>
      <c r="B11" s="117" t="s">
        <v>267</v>
      </c>
      <c r="C11" s="117" t="s">
        <v>268</v>
      </c>
      <c r="D11" s="117" t="s">
        <v>269</v>
      </c>
      <c r="E11" s="117" t="s">
        <v>270</v>
      </c>
      <c r="F11" s="118" t="s">
        <v>271</v>
      </c>
      <c r="G11" s="118" t="s">
        <v>272</v>
      </c>
    </row>
    <row r="12">
      <c r="A12" s="119">
        <v>1.0</v>
      </c>
      <c r="B12" s="136" t="s">
        <v>295</v>
      </c>
      <c r="C12" s="137" t="s">
        <v>296</v>
      </c>
      <c r="D12" s="138">
        <v>16266.67</v>
      </c>
      <c r="E12" s="136" t="s">
        <v>298</v>
      </c>
      <c r="F12" s="129" t="s">
        <v>299</v>
      </c>
      <c r="G12" s="129">
        <v>44000.0</v>
      </c>
    </row>
    <row r="13">
      <c r="A13" s="139" t="s">
        <v>300</v>
      </c>
      <c r="B13" s="123"/>
      <c r="C13" s="123"/>
      <c r="D13" s="124"/>
      <c r="E13" s="136"/>
    </row>
    <row r="14">
      <c r="A14" s="126"/>
      <c r="B14" s="126"/>
      <c r="C14" s="127"/>
      <c r="D14" s="128" t="s">
        <v>280</v>
      </c>
      <c r="E14" s="129">
        <v>0.0</v>
      </c>
    </row>
    <row r="15">
      <c r="A15" s="126"/>
      <c r="B15" s="126"/>
      <c r="C15" s="127"/>
      <c r="D15" s="130" t="s">
        <v>281</v>
      </c>
      <c r="E15" s="119" t="s">
        <v>298</v>
      </c>
    </row>
    <row r="19">
      <c r="A19" s="131" t="s">
        <v>29</v>
      </c>
      <c r="B19" s="131" t="s">
        <v>13</v>
      </c>
      <c r="C19" s="132" t="s">
        <v>283</v>
      </c>
      <c r="D19" s="132" t="s">
        <v>285</v>
      </c>
    </row>
    <row r="20">
      <c r="A20" s="133" t="s">
        <v>42</v>
      </c>
      <c r="B20" s="133" t="s">
        <v>44</v>
      </c>
      <c r="C20" s="140">
        <v>4081.64</v>
      </c>
      <c r="D20" s="133">
        <v>897.96</v>
      </c>
    </row>
    <row r="21">
      <c r="A21" s="134" t="s">
        <v>47</v>
      </c>
      <c r="B21" s="134" t="s">
        <v>44</v>
      </c>
      <c r="C21" s="141">
        <v>4081.64</v>
      </c>
      <c r="D21" s="134">
        <v>897.96</v>
      </c>
    </row>
    <row r="22">
      <c r="A22" s="133" t="s">
        <v>51</v>
      </c>
      <c r="B22" s="133" t="s">
        <v>44</v>
      </c>
      <c r="C22" s="140">
        <v>4081.64</v>
      </c>
      <c r="D22" s="133">
        <v>897.96</v>
      </c>
    </row>
    <row r="23">
      <c r="A23" s="134" t="s">
        <v>55</v>
      </c>
      <c r="B23" s="134" t="s">
        <v>23</v>
      </c>
      <c r="C23" s="141">
        <v>4081.64</v>
      </c>
      <c r="D23" s="134">
        <v>897.96</v>
      </c>
    </row>
    <row r="24">
      <c r="A24" s="133" t="s">
        <v>56</v>
      </c>
      <c r="B24" s="133" t="s">
        <v>23</v>
      </c>
      <c r="C24" s="140">
        <v>4081.64</v>
      </c>
      <c r="D24" s="133">
        <v>897.96</v>
      </c>
    </row>
    <row r="25">
      <c r="A25" s="134" t="s">
        <v>57</v>
      </c>
      <c r="B25" s="134" t="s">
        <v>58</v>
      </c>
      <c r="C25" s="141">
        <v>4081.64</v>
      </c>
      <c r="D25" s="134">
        <v>897.96</v>
      </c>
    </row>
    <row r="26">
      <c r="A26" s="133" t="s">
        <v>60</v>
      </c>
      <c r="B26" s="133" t="s">
        <v>58</v>
      </c>
      <c r="C26" s="140">
        <v>4081.64</v>
      </c>
      <c r="D26" s="133">
        <v>897.96</v>
      </c>
    </row>
    <row r="27">
      <c r="A27" s="134" t="s">
        <v>61</v>
      </c>
      <c r="B27" s="134" t="s">
        <v>62</v>
      </c>
      <c r="C27" s="141">
        <v>4081.64</v>
      </c>
      <c r="D27" s="134">
        <v>897.96</v>
      </c>
    </row>
    <row r="28">
      <c r="A28" s="133" t="s">
        <v>63</v>
      </c>
      <c r="B28" s="133" t="s">
        <v>62</v>
      </c>
      <c r="C28" s="140">
        <v>4081.64</v>
      </c>
      <c r="D28" s="133">
        <v>897.96</v>
      </c>
    </row>
    <row r="29">
      <c r="A29" s="134" t="s">
        <v>65</v>
      </c>
      <c r="B29" s="134" t="s">
        <v>62</v>
      </c>
      <c r="C29" s="141">
        <v>4081.64</v>
      </c>
      <c r="D29" s="134">
        <v>897.96</v>
      </c>
    </row>
    <row r="30">
      <c r="A30" s="133" t="s">
        <v>66</v>
      </c>
      <c r="B30" s="133" t="s">
        <v>62</v>
      </c>
      <c r="C30" s="140">
        <v>4081.64</v>
      </c>
      <c r="D30" s="133">
        <v>897.96</v>
      </c>
    </row>
    <row r="31">
      <c r="A31" s="134" t="s">
        <v>67</v>
      </c>
      <c r="B31" s="134" t="s">
        <v>68</v>
      </c>
      <c r="C31" s="141">
        <v>4081.64</v>
      </c>
      <c r="D31" s="134">
        <v>897.96</v>
      </c>
    </row>
    <row r="32">
      <c r="A32" s="133" t="s">
        <v>69</v>
      </c>
      <c r="B32" s="133" t="s">
        <v>70</v>
      </c>
      <c r="C32" s="140">
        <v>4081.64</v>
      </c>
      <c r="D32" s="133">
        <v>897.96</v>
      </c>
    </row>
    <row r="33">
      <c r="A33" s="134" t="s">
        <v>72</v>
      </c>
      <c r="B33" s="134" t="s">
        <v>70</v>
      </c>
      <c r="C33" s="141">
        <v>4081.64</v>
      </c>
      <c r="D33" s="134">
        <v>897.96</v>
      </c>
    </row>
    <row r="34">
      <c r="A34" s="133" t="s">
        <v>73</v>
      </c>
      <c r="B34" s="133" t="s">
        <v>70</v>
      </c>
      <c r="C34" s="140">
        <v>4081.64</v>
      </c>
      <c r="D34" s="133">
        <v>897.96</v>
      </c>
    </row>
    <row r="35">
      <c r="A35" s="134" t="s">
        <v>74</v>
      </c>
      <c r="B35" s="134" t="s">
        <v>37</v>
      </c>
      <c r="C35" s="141">
        <v>4081.64</v>
      </c>
      <c r="D35" s="134">
        <v>897.96</v>
      </c>
    </row>
    <row r="36">
      <c r="A36" s="133" t="s">
        <v>76</v>
      </c>
      <c r="B36" s="133" t="s">
        <v>37</v>
      </c>
      <c r="C36" s="140">
        <v>4081.64</v>
      </c>
      <c r="D36" s="133">
        <v>897.96</v>
      </c>
    </row>
    <row r="37">
      <c r="A37" s="134" t="s">
        <v>80</v>
      </c>
      <c r="B37" s="134" t="s">
        <v>81</v>
      </c>
      <c r="C37" s="141">
        <v>4081.64</v>
      </c>
      <c r="D37" s="134">
        <v>897.96</v>
      </c>
    </row>
    <row r="38">
      <c r="A38" s="133" t="s">
        <v>82</v>
      </c>
      <c r="B38" s="133" t="s">
        <v>37</v>
      </c>
      <c r="C38" s="140">
        <v>4081.64</v>
      </c>
      <c r="D38" s="133">
        <v>897.96</v>
      </c>
    </row>
    <row r="39">
      <c r="A39" s="134" t="s">
        <v>83</v>
      </c>
      <c r="B39" s="134" t="s">
        <v>84</v>
      </c>
      <c r="C39" s="141">
        <v>4081.64</v>
      </c>
      <c r="D39" s="134">
        <v>897.96</v>
      </c>
    </row>
    <row r="40">
      <c r="A40" s="133" t="s">
        <v>89</v>
      </c>
      <c r="B40" s="133" t="s">
        <v>84</v>
      </c>
      <c r="C40" s="140">
        <v>4081.64</v>
      </c>
      <c r="D40" s="133">
        <v>897.96</v>
      </c>
    </row>
    <row r="41">
      <c r="A41" s="134" t="s">
        <v>90</v>
      </c>
      <c r="B41" s="134" t="s">
        <v>84</v>
      </c>
      <c r="C41" s="141">
        <v>4081.64</v>
      </c>
      <c r="D41" s="134">
        <v>897.96</v>
      </c>
    </row>
    <row r="42">
      <c r="A42" s="133" t="s">
        <v>91</v>
      </c>
      <c r="B42" s="133" t="s">
        <v>92</v>
      </c>
      <c r="C42" s="140">
        <v>4081.64</v>
      </c>
      <c r="D42" s="133">
        <v>897.96</v>
      </c>
    </row>
    <row r="43">
      <c r="A43" s="134" t="s">
        <v>94</v>
      </c>
      <c r="B43" s="134" t="s">
        <v>92</v>
      </c>
      <c r="C43" s="141">
        <v>4081.64</v>
      </c>
      <c r="D43" s="134">
        <v>897.96</v>
      </c>
    </row>
    <row r="44">
      <c r="A44" s="133" t="s">
        <v>96</v>
      </c>
      <c r="B44" s="133" t="s">
        <v>92</v>
      </c>
      <c r="C44" s="140">
        <v>4081.64</v>
      </c>
      <c r="D44" s="133">
        <v>897.96</v>
      </c>
    </row>
    <row r="45">
      <c r="A45" s="134" t="s">
        <v>97</v>
      </c>
      <c r="B45" s="134" t="s">
        <v>46</v>
      </c>
      <c r="C45" s="141">
        <v>4081.64</v>
      </c>
      <c r="D45" s="134">
        <v>897.96</v>
      </c>
    </row>
    <row r="46">
      <c r="A46" s="133" t="s">
        <v>98</v>
      </c>
      <c r="B46" s="133" t="s">
        <v>46</v>
      </c>
      <c r="C46" s="140">
        <v>4081.64</v>
      </c>
      <c r="D46" s="133">
        <v>897.96</v>
      </c>
    </row>
    <row r="47">
      <c r="A47" s="134" t="s">
        <v>99</v>
      </c>
      <c r="B47" s="134" t="s">
        <v>77</v>
      </c>
      <c r="C47" s="141">
        <v>4081.64</v>
      </c>
      <c r="D47" s="134">
        <v>897.96</v>
      </c>
    </row>
    <row r="48">
      <c r="A48" s="133" t="s">
        <v>101</v>
      </c>
      <c r="B48" s="133" t="s">
        <v>102</v>
      </c>
      <c r="C48" s="140">
        <v>4081.64</v>
      </c>
      <c r="D48" s="133">
        <v>897.96</v>
      </c>
    </row>
    <row r="49">
      <c r="A49" s="134" t="s">
        <v>103</v>
      </c>
      <c r="B49" s="134" t="s">
        <v>77</v>
      </c>
      <c r="C49" s="141">
        <v>4081.64</v>
      </c>
      <c r="D49" s="134">
        <v>897.96</v>
      </c>
    </row>
    <row r="50">
      <c r="A50" s="133" t="s">
        <v>105</v>
      </c>
      <c r="B50" s="133" t="s">
        <v>106</v>
      </c>
      <c r="C50" s="140">
        <v>4081.64</v>
      </c>
      <c r="D50" s="133">
        <v>897.96</v>
      </c>
    </row>
    <row r="51">
      <c r="A51" s="134" t="s">
        <v>107</v>
      </c>
      <c r="B51" s="134" t="s">
        <v>108</v>
      </c>
      <c r="C51" s="141">
        <v>4081.64</v>
      </c>
      <c r="D51" s="134">
        <v>897.96</v>
      </c>
    </row>
    <row r="52">
      <c r="A52" s="133" t="s">
        <v>109</v>
      </c>
      <c r="B52" s="133" t="s">
        <v>77</v>
      </c>
      <c r="C52" s="140">
        <v>4081.64</v>
      </c>
      <c r="D52" s="133">
        <v>897.96</v>
      </c>
    </row>
    <row r="53">
      <c r="A53" s="134" t="s">
        <v>110</v>
      </c>
      <c r="B53" s="134" t="s">
        <v>77</v>
      </c>
      <c r="C53" s="141">
        <v>4081.64</v>
      </c>
      <c r="D53" s="134">
        <v>897.96</v>
      </c>
    </row>
    <row r="54">
      <c r="A54" s="133" t="s">
        <v>111</v>
      </c>
      <c r="B54" s="133" t="s">
        <v>113</v>
      </c>
      <c r="C54" s="140">
        <v>4081.64</v>
      </c>
      <c r="D54" s="133">
        <v>897.96</v>
      </c>
    </row>
    <row r="55">
      <c r="A55" s="134" t="s">
        <v>119</v>
      </c>
      <c r="B55" s="134" t="s">
        <v>120</v>
      </c>
      <c r="C55" s="141">
        <v>4081.64</v>
      </c>
      <c r="D55" s="134">
        <v>897.96</v>
      </c>
    </row>
    <row r="56">
      <c r="A56" s="133" t="s">
        <v>121</v>
      </c>
      <c r="B56" s="133" t="s">
        <v>120</v>
      </c>
      <c r="C56" s="140">
        <v>4081.64</v>
      </c>
      <c r="D56" s="133">
        <v>897.96</v>
      </c>
    </row>
    <row r="57">
      <c r="A57" s="134" t="s">
        <v>123</v>
      </c>
      <c r="B57" s="134" t="s">
        <v>120</v>
      </c>
      <c r="C57" s="141">
        <v>4081.64</v>
      </c>
      <c r="D57" s="134">
        <v>897.96</v>
      </c>
    </row>
    <row r="58">
      <c r="A58" s="133" t="s">
        <v>124</v>
      </c>
      <c r="B58" s="133" t="s">
        <v>120</v>
      </c>
      <c r="C58" s="140">
        <v>4081.64</v>
      </c>
      <c r="D58" s="133">
        <v>897.96</v>
      </c>
    </row>
    <row r="59">
      <c r="A59" s="134" t="s">
        <v>126</v>
      </c>
      <c r="B59" s="134" t="s">
        <v>58</v>
      </c>
      <c r="C59" s="141">
        <v>4081.64</v>
      </c>
      <c r="D59" s="134">
        <v>897.96</v>
      </c>
    </row>
    <row r="60">
      <c r="A60" s="133" t="s">
        <v>127</v>
      </c>
      <c r="B60" s="133" t="s">
        <v>58</v>
      </c>
      <c r="C60" s="140">
        <v>4081.64</v>
      </c>
      <c r="D60" s="133">
        <v>897.96</v>
      </c>
    </row>
    <row r="61">
      <c r="A61" s="134" t="s">
        <v>128</v>
      </c>
      <c r="B61" s="134" t="s">
        <v>62</v>
      </c>
      <c r="C61" s="141">
        <v>4081.64</v>
      </c>
      <c r="D61" s="134">
        <v>897.96</v>
      </c>
    </row>
    <row r="62">
      <c r="A62" s="133" t="s">
        <v>129</v>
      </c>
      <c r="B62" s="133" t="s">
        <v>92</v>
      </c>
      <c r="C62" s="140">
        <v>4081.64</v>
      </c>
      <c r="D62" s="133">
        <v>897.96</v>
      </c>
    </row>
    <row r="63">
      <c r="A63" s="134" t="s">
        <v>130</v>
      </c>
      <c r="B63" s="134" t="s">
        <v>23</v>
      </c>
      <c r="C63" s="141">
        <v>4081.64</v>
      </c>
      <c r="D63" s="134">
        <v>897.96</v>
      </c>
    </row>
    <row r="64">
      <c r="A64" s="133" t="s">
        <v>132</v>
      </c>
      <c r="B64" s="133" t="s">
        <v>23</v>
      </c>
      <c r="C64" s="140">
        <v>4081.64</v>
      </c>
      <c r="D64" s="133">
        <v>897.96</v>
      </c>
    </row>
    <row r="65">
      <c r="A65" s="134" t="s">
        <v>133</v>
      </c>
      <c r="B65" s="134" t="s">
        <v>77</v>
      </c>
      <c r="C65" s="141">
        <v>4081.64</v>
      </c>
      <c r="D65" s="134">
        <v>897.96</v>
      </c>
    </row>
    <row r="66">
      <c r="A66" s="133" t="s">
        <v>134</v>
      </c>
      <c r="B66" s="133" t="s">
        <v>70</v>
      </c>
      <c r="C66" s="140">
        <v>4081.64</v>
      </c>
      <c r="D66" s="133">
        <v>897.96</v>
      </c>
    </row>
    <row r="67">
      <c r="A67" s="134" t="s">
        <v>136</v>
      </c>
      <c r="B67" s="134" t="s">
        <v>70</v>
      </c>
      <c r="C67" s="141">
        <v>4081.64</v>
      </c>
      <c r="D67" s="134">
        <v>897.96</v>
      </c>
    </row>
    <row r="68">
      <c r="A68" s="133" t="s">
        <v>137</v>
      </c>
      <c r="B68" s="133" t="s">
        <v>70</v>
      </c>
      <c r="C68" s="140">
        <v>4081.64</v>
      </c>
      <c r="D68" s="133">
        <v>897.96</v>
      </c>
    </row>
    <row r="69">
      <c r="A69" s="157" t="s">
        <v>255</v>
      </c>
      <c r="B69" s="158"/>
      <c r="C69" s="159">
        <f t="shared" ref="C69:D69" si="1">SUM(C20:C68)</f>
        <v>200000.36</v>
      </c>
      <c r="D69" s="160">
        <f t="shared" si="1"/>
        <v>44000.04</v>
      </c>
    </row>
    <row r="74">
      <c r="A74" s="161" t="s">
        <v>316</v>
      </c>
      <c r="B74" s="63"/>
      <c r="C74" s="63"/>
      <c r="D74" s="63"/>
      <c r="E74" s="148"/>
      <c r="F74" s="149"/>
    </row>
    <row r="75">
      <c r="A75" s="150" t="s">
        <v>309</v>
      </c>
      <c r="B75" s="151" t="s">
        <v>310</v>
      </c>
      <c r="C75" s="151" t="s">
        <v>311</v>
      </c>
      <c r="D75" s="147" t="s">
        <v>312</v>
      </c>
      <c r="E75" s="148"/>
      <c r="F75" s="149"/>
    </row>
    <row r="76">
      <c r="A76" s="152">
        <v>46143.0</v>
      </c>
      <c r="B76" s="120">
        <v>14000.0</v>
      </c>
      <c r="C76" s="119">
        <f t="shared" ref="C76:C93" si="2">244000-Sum(B44:B76)</f>
        <v>230000</v>
      </c>
      <c r="D76" s="155" t="s">
        <v>317</v>
      </c>
      <c r="E76" s="153"/>
      <c r="F76" s="154"/>
    </row>
    <row r="77">
      <c r="A77" s="152">
        <v>46174.0</v>
      </c>
      <c r="B77" s="120">
        <v>14000.0</v>
      </c>
      <c r="C77" s="119">
        <f t="shared" si="2"/>
        <v>216000</v>
      </c>
      <c r="D77" s="155" t="s">
        <v>320</v>
      </c>
      <c r="E77" s="153"/>
      <c r="F77" s="154"/>
    </row>
    <row r="78">
      <c r="A78" s="152">
        <v>46204.0</v>
      </c>
      <c r="B78" s="120">
        <v>13500.0</v>
      </c>
      <c r="C78" s="119">
        <f t="shared" si="2"/>
        <v>202500</v>
      </c>
      <c r="D78" s="52" t="s">
        <v>322</v>
      </c>
      <c r="E78" s="153"/>
      <c r="F78" s="154"/>
    </row>
    <row r="79">
      <c r="A79" s="152">
        <v>46235.0</v>
      </c>
      <c r="B79" s="120">
        <v>13500.0</v>
      </c>
      <c r="C79" s="119">
        <f t="shared" si="2"/>
        <v>189000</v>
      </c>
      <c r="D79" s="52" t="s">
        <v>287</v>
      </c>
      <c r="E79" s="153"/>
      <c r="F79" s="154"/>
    </row>
    <row r="80">
      <c r="A80" s="152">
        <v>46266.0</v>
      </c>
      <c r="B80" s="120"/>
      <c r="C80" s="119">
        <f t="shared" si="2"/>
        <v>189000</v>
      </c>
      <c r="D80" s="156"/>
      <c r="E80" s="153"/>
      <c r="F80" s="154"/>
    </row>
    <row r="81">
      <c r="A81" s="152">
        <v>46296.0</v>
      </c>
      <c r="B81" s="120"/>
      <c r="C81" s="119">
        <f t="shared" si="2"/>
        <v>189000</v>
      </c>
      <c r="D81" s="156"/>
      <c r="E81" s="153"/>
      <c r="F81" s="154"/>
    </row>
    <row r="82">
      <c r="A82" s="152">
        <v>46327.0</v>
      </c>
      <c r="B82" s="120"/>
      <c r="C82" s="119">
        <f t="shared" si="2"/>
        <v>189000</v>
      </c>
      <c r="D82" s="156"/>
      <c r="E82" s="153"/>
      <c r="F82" s="154"/>
    </row>
    <row r="83">
      <c r="A83" s="152">
        <v>46357.0</v>
      </c>
      <c r="B83" s="120"/>
      <c r="C83" s="119">
        <f t="shared" si="2"/>
        <v>189000</v>
      </c>
      <c r="D83" s="156"/>
      <c r="E83" s="153"/>
      <c r="F83" s="154"/>
    </row>
    <row r="84">
      <c r="A84" s="152">
        <v>46388.0</v>
      </c>
      <c r="B84" s="120"/>
      <c r="C84" s="119">
        <f t="shared" si="2"/>
        <v>189000</v>
      </c>
      <c r="D84" s="156"/>
      <c r="E84" s="153"/>
      <c r="F84" s="154"/>
    </row>
    <row r="85">
      <c r="A85" s="152">
        <v>46419.0</v>
      </c>
      <c r="B85" s="120"/>
      <c r="C85" s="119">
        <f t="shared" si="2"/>
        <v>189000</v>
      </c>
      <c r="D85" s="156"/>
      <c r="E85" s="153"/>
      <c r="F85" s="154"/>
    </row>
    <row r="86">
      <c r="A86" s="152">
        <v>46447.0</v>
      </c>
      <c r="B86" s="120"/>
      <c r="C86" s="119">
        <f t="shared" si="2"/>
        <v>189000</v>
      </c>
      <c r="D86" s="156"/>
      <c r="E86" s="153"/>
      <c r="F86" s="154"/>
    </row>
    <row r="87">
      <c r="A87" s="152">
        <v>46478.0</v>
      </c>
      <c r="B87" s="129"/>
      <c r="C87" s="119">
        <f t="shared" si="2"/>
        <v>189000</v>
      </c>
      <c r="E87" s="153"/>
      <c r="F87" s="154"/>
    </row>
    <row r="88">
      <c r="A88" s="165">
        <v>46508.0</v>
      </c>
      <c r="B88" s="53"/>
      <c r="C88" s="119">
        <f t="shared" si="2"/>
        <v>189000</v>
      </c>
      <c r="D88" s="53"/>
    </row>
    <row r="89">
      <c r="A89" s="152">
        <v>46539.0</v>
      </c>
      <c r="B89" s="53"/>
      <c r="C89" s="119">
        <f t="shared" si="2"/>
        <v>189000</v>
      </c>
      <c r="D89" s="53"/>
    </row>
    <row r="90">
      <c r="A90" s="152">
        <v>46569.0</v>
      </c>
      <c r="B90" s="53"/>
      <c r="C90" s="119">
        <f t="shared" si="2"/>
        <v>189000</v>
      </c>
      <c r="D90" s="53"/>
    </row>
    <row r="91">
      <c r="A91" s="152">
        <v>46600.0</v>
      </c>
      <c r="B91" s="53"/>
      <c r="C91" s="119">
        <f t="shared" si="2"/>
        <v>189000</v>
      </c>
      <c r="D91" s="53"/>
    </row>
    <row r="92">
      <c r="A92" s="152">
        <v>46631.0</v>
      </c>
      <c r="B92" s="53"/>
      <c r="C92" s="119">
        <f t="shared" si="2"/>
        <v>189000</v>
      </c>
      <c r="D92" s="53"/>
    </row>
    <row r="93">
      <c r="A93" s="152">
        <v>46661.0</v>
      </c>
      <c r="B93" s="53"/>
      <c r="C93" s="119">
        <f t="shared" si="2"/>
        <v>189000</v>
      </c>
      <c r="D93" s="137" t="s">
        <v>318</v>
      </c>
    </row>
    <row r="94">
      <c r="A94" s="6" t="s">
        <v>321</v>
      </c>
      <c r="B94" s="53">
        <f>SUM(B75:B87)</f>
        <v>55000</v>
      </c>
    </row>
  </sheetData>
  <mergeCells count="4">
    <mergeCell ref="A1:G1"/>
    <mergeCell ref="A13:D13"/>
    <mergeCell ref="A69:B69"/>
    <mergeCell ref="A74:D7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38"/>
    <col customWidth="1" min="3" max="3" width="20.63"/>
    <col customWidth="1" min="4" max="4" width="17.5"/>
  </cols>
  <sheetData>
    <row r="1">
      <c r="A1" s="111" t="s">
        <v>331</v>
      </c>
      <c r="B1" s="63"/>
      <c r="C1" s="63"/>
      <c r="D1" s="63"/>
      <c r="E1" s="63"/>
      <c r="F1" s="63"/>
      <c r="G1" s="64"/>
    </row>
    <row r="4">
      <c r="A4" s="112" t="s">
        <v>257</v>
      </c>
      <c r="B4" s="113" t="s">
        <v>334</v>
      </c>
    </row>
    <row r="5">
      <c r="A5" s="114" t="s">
        <v>259</v>
      </c>
      <c r="B5" s="115">
        <v>46133.0</v>
      </c>
    </row>
    <row r="6">
      <c r="A6" s="112" t="s">
        <v>261</v>
      </c>
      <c r="B6" s="113" t="s">
        <v>335</v>
      </c>
    </row>
    <row r="7">
      <c r="A7" s="114" t="s">
        <v>262</v>
      </c>
      <c r="B7" s="116">
        <v>1.642086013E9</v>
      </c>
    </row>
    <row r="8">
      <c r="A8" s="114" t="s">
        <v>264</v>
      </c>
      <c r="B8" s="116" t="s">
        <v>336</v>
      </c>
    </row>
    <row r="11">
      <c r="A11" s="117" t="s">
        <v>266</v>
      </c>
      <c r="B11" s="117" t="s">
        <v>267</v>
      </c>
      <c r="C11" s="117" t="s">
        <v>268</v>
      </c>
      <c r="D11" s="117" t="s">
        <v>269</v>
      </c>
      <c r="E11" s="117" t="s">
        <v>270</v>
      </c>
      <c r="F11" s="118" t="s">
        <v>271</v>
      </c>
      <c r="G11" s="118" t="s">
        <v>272</v>
      </c>
    </row>
    <row r="12">
      <c r="A12" s="119">
        <v>1.0</v>
      </c>
      <c r="B12" s="136" t="s">
        <v>339</v>
      </c>
      <c r="C12" s="137" t="s">
        <v>340</v>
      </c>
      <c r="D12" s="138">
        <v>20267.5</v>
      </c>
      <c r="E12" s="129">
        <v>40535.0</v>
      </c>
      <c r="F12" s="129">
        <v>33500.0</v>
      </c>
      <c r="G12" s="129">
        <f>E12-F12</f>
        <v>7035</v>
      </c>
    </row>
    <row r="13">
      <c r="A13" s="174" t="s">
        <v>343</v>
      </c>
      <c r="B13" s="123"/>
      <c r="C13" s="123"/>
      <c r="D13" s="124"/>
      <c r="E13" s="178">
        <v>40535.0</v>
      </c>
    </row>
    <row r="14">
      <c r="A14" s="126"/>
      <c r="B14" s="126"/>
      <c r="C14" s="127"/>
      <c r="D14" s="128" t="s">
        <v>280</v>
      </c>
      <c r="E14" s="120">
        <v>0.0</v>
      </c>
    </row>
    <row r="15">
      <c r="A15" s="126"/>
      <c r="B15" s="126"/>
      <c r="C15" s="127"/>
      <c r="D15" s="130" t="s">
        <v>281</v>
      </c>
      <c r="E15" s="120">
        <v>40535.0</v>
      </c>
    </row>
    <row r="19">
      <c r="A19" s="131" t="s">
        <v>29</v>
      </c>
      <c r="B19" s="131" t="s">
        <v>13</v>
      </c>
      <c r="C19" s="132" t="s">
        <v>283</v>
      </c>
      <c r="D19" s="132" t="s">
        <v>285</v>
      </c>
    </row>
    <row r="20">
      <c r="A20" s="133" t="s">
        <v>42</v>
      </c>
      <c r="B20" s="133" t="s">
        <v>44</v>
      </c>
      <c r="C20" s="133">
        <v>683.68</v>
      </c>
      <c r="D20" s="133">
        <v>143.58</v>
      </c>
    </row>
    <row r="21">
      <c r="A21" s="134" t="s">
        <v>47</v>
      </c>
      <c r="B21" s="134" t="s">
        <v>44</v>
      </c>
      <c r="C21" s="134">
        <v>683.68</v>
      </c>
      <c r="D21" s="134">
        <v>143.58</v>
      </c>
    </row>
    <row r="22">
      <c r="A22" s="133" t="s">
        <v>51</v>
      </c>
      <c r="B22" s="133" t="s">
        <v>44</v>
      </c>
      <c r="C22" s="133">
        <v>683.68</v>
      </c>
      <c r="D22" s="133">
        <v>143.58</v>
      </c>
    </row>
    <row r="23">
      <c r="A23" s="134" t="s">
        <v>55</v>
      </c>
      <c r="B23" s="134" t="s">
        <v>23</v>
      </c>
      <c r="C23" s="134">
        <v>683.68</v>
      </c>
      <c r="D23" s="134">
        <v>143.58</v>
      </c>
    </row>
    <row r="24">
      <c r="A24" s="133" t="s">
        <v>56</v>
      </c>
      <c r="B24" s="133" t="s">
        <v>23</v>
      </c>
      <c r="C24" s="133">
        <v>683.68</v>
      </c>
      <c r="D24" s="133">
        <v>143.58</v>
      </c>
    </row>
    <row r="25">
      <c r="A25" s="134" t="s">
        <v>57</v>
      </c>
      <c r="B25" s="134" t="s">
        <v>58</v>
      </c>
      <c r="C25" s="134">
        <v>683.68</v>
      </c>
      <c r="D25" s="134">
        <v>143.58</v>
      </c>
    </row>
    <row r="26">
      <c r="A26" s="133" t="s">
        <v>60</v>
      </c>
      <c r="B26" s="133" t="s">
        <v>58</v>
      </c>
      <c r="C26" s="133">
        <v>683.68</v>
      </c>
      <c r="D26" s="133">
        <v>143.58</v>
      </c>
    </row>
    <row r="27">
      <c r="A27" s="134" t="s">
        <v>61</v>
      </c>
      <c r="B27" s="134" t="s">
        <v>62</v>
      </c>
      <c r="C27" s="134">
        <v>683.68</v>
      </c>
      <c r="D27" s="134">
        <v>143.58</v>
      </c>
    </row>
    <row r="28">
      <c r="A28" s="133" t="s">
        <v>63</v>
      </c>
      <c r="B28" s="133" t="s">
        <v>62</v>
      </c>
      <c r="C28" s="133">
        <v>683.68</v>
      </c>
      <c r="D28" s="133">
        <v>143.58</v>
      </c>
    </row>
    <row r="29">
      <c r="A29" s="134" t="s">
        <v>65</v>
      </c>
      <c r="B29" s="134" t="s">
        <v>62</v>
      </c>
      <c r="C29" s="134">
        <v>683.68</v>
      </c>
      <c r="D29" s="134">
        <v>143.58</v>
      </c>
    </row>
    <row r="30">
      <c r="A30" s="133" t="s">
        <v>66</v>
      </c>
      <c r="B30" s="133" t="s">
        <v>62</v>
      </c>
      <c r="C30" s="133">
        <v>683.68</v>
      </c>
      <c r="D30" s="133">
        <v>143.58</v>
      </c>
    </row>
    <row r="31">
      <c r="A31" s="134" t="s">
        <v>67</v>
      </c>
      <c r="B31" s="134" t="s">
        <v>68</v>
      </c>
      <c r="C31" s="134">
        <v>683.68</v>
      </c>
      <c r="D31" s="134">
        <v>143.58</v>
      </c>
    </row>
    <row r="32">
      <c r="A32" s="133" t="s">
        <v>69</v>
      </c>
      <c r="B32" s="133" t="s">
        <v>70</v>
      </c>
      <c r="C32" s="133">
        <v>683.68</v>
      </c>
      <c r="D32" s="133">
        <v>143.58</v>
      </c>
    </row>
    <row r="33">
      <c r="A33" s="134" t="s">
        <v>72</v>
      </c>
      <c r="B33" s="134" t="s">
        <v>70</v>
      </c>
      <c r="C33" s="134">
        <v>683.68</v>
      </c>
      <c r="D33" s="134">
        <v>143.58</v>
      </c>
    </row>
    <row r="34">
      <c r="A34" s="133" t="s">
        <v>73</v>
      </c>
      <c r="B34" s="133" t="s">
        <v>70</v>
      </c>
      <c r="C34" s="133">
        <v>683.68</v>
      </c>
      <c r="D34" s="133">
        <v>143.58</v>
      </c>
    </row>
    <row r="35">
      <c r="A35" s="134" t="s">
        <v>74</v>
      </c>
      <c r="B35" s="134" t="s">
        <v>37</v>
      </c>
      <c r="C35" s="134">
        <v>683.68</v>
      </c>
      <c r="D35" s="134">
        <v>143.58</v>
      </c>
    </row>
    <row r="36">
      <c r="A36" s="133" t="s">
        <v>76</v>
      </c>
      <c r="B36" s="133" t="s">
        <v>37</v>
      </c>
      <c r="C36" s="133">
        <v>683.68</v>
      </c>
      <c r="D36" s="133">
        <v>143.58</v>
      </c>
    </row>
    <row r="37">
      <c r="A37" s="134" t="s">
        <v>80</v>
      </c>
      <c r="B37" s="134" t="s">
        <v>81</v>
      </c>
      <c r="C37" s="134">
        <v>683.68</v>
      </c>
      <c r="D37" s="134">
        <v>143.58</v>
      </c>
    </row>
    <row r="38">
      <c r="A38" s="133" t="s">
        <v>82</v>
      </c>
      <c r="B38" s="133" t="s">
        <v>37</v>
      </c>
      <c r="C38" s="133">
        <v>683.68</v>
      </c>
      <c r="D38" s="133">
        <v>143.58</v>
      </c>
    </row>
    <row r="39">
      <c r="A39" s="134" t="s">
        <v>83</v>
      </c>
      <c r="B39" s="134" t="s">
        <v>84</v>
      </c>
      <c r="C39" s="134">
        <v>683.68</v>
      </c>
      <c r="D39" s="134">
        <v>143.58</v>
      </c>
    </row>
    <row r="40">
      <c r="A40" s="133" t="s">
        <v>89</v>
      </c>
      <c r="B40" s="133" t="s">
        <v>84</v>
      </c>
      <c r="C40" s="133">
        <v>683.68</v>
      </c>
      <c r="D40" s="133">
        <v>143.58</v>
      </c>
    </row>
    <row r="41">
      <c r="A41" s="134" t="s">
        <v>90</v>
      </c>
      <c r="B41" s="134" t="s">
        <v>84</v>
      </c>
      <c r="C41" s="134">
        <v>683.68</v>
      </c>
      <c r="D41" s="134">
        <v>143.58</v>
      </c>
    </row>
    <row r="42">
      <c r="A42" s="133" t="s">
        <v>91</v>
      </c>
      <c r="B42" s="133" t="s">
        <v>92</v>
      </c>
      <c r="C42" s="133">
        <v>683.68</v>
      </c>
      <c r="D42" s="133">
        <v>143.58</v>
      </c>
    </row>
    <row r="43">
      <c r="A43" s="134" t="s">
        <v>94</v>
      </c>
      <c r="B43" s="134" t="s">
        <v>92</v>
      </c>
      <c r="C43" s="134">
        <v>683.68</v>
      </c>
      <c r="D43" s="134">
        <v>143.58</v>
      </c>
    </row>
    <row r="44">
      <c r="A44" s="133" t="s">
        <v>96</v>
      </c>
      <c r="B44" s="133" t="s">
        <v>92</v>
      </c>
      <c r="C44" s="133">
        <v>683.68</v>
      </c>
      <c r="D44" s="133">
        <v>143.58</v>
      </c>
    </row>
    <row r="45">
      <c r="A45" s="134" t="s">
        <v>97</v>
      </c>
      <c r="B45" s="134" t="s">
        <v>46</v>
      </c>
      <c r="C45" s="134">
        <v>683.68</v>
      </c>
      <c r="D45" s="134">
        <v>143.58</v>
      </c>
    </row>
    <row r="46">
      <c r="A46" s="133" t="s">
        <v>98</v>
      </c>
      <c r="B46" s="133" t="s">
        <v>46</v>
      </c>
      <c r="C46" s="133">
        <v>683.68</v>
      </c>
      <c r="D46" s="133">
        <v>143.58</v>
      </c>
    </row>
    <row r="47">
      <c r="A47" s="134" t="s">
        <v>99</v>
      </c>
      <c r="B47" s="134" t="s">
        <v>77</v>
      </c>
      <c r="C47" s="134">
        <v>683.68</v>
      </c>
      <c r="D47" s="134">
        <v>143.58</v>
      </c>
    </row>
    <row r="48">
      <c r="A48" s="133" t="s">
        <v>101</v>
      </c>
      <c r="B48" s="133" t="s">
        <v>102</v>
      </c>
      <c r="C48" s="133">
        <v>683.68</v>
      </c>
      <c r="D48" s="133">
        <v>143.58</v>
      </c>
    </row>
    <row r="49">
      <c r="A49" s="134" t="s">
        <v>103</v>
      </c>
      <c r="B49" s="134" t="s">
        <v>77</v>
      </c>
      <c r="C49" s="134">
        <v>683.68</v>
      </c>
      <c r="D49" s="134">
        <v>143.58</v>
      </c>
    </row>
    <row r="50">
      <c r="A50" s="133" t="s">
        <v>105</v>
      </c>
      <c r="B50" s="133" t="s">
        <v>106</v>
      </c>
      <c r="C50" s="133">
        <v>683.68</v>
      </c>
      <c r="D50" s="133">
        <v>143.58</v>
      </c>
    </row>
    <row r="51">
      <c r="A51" s="134" t="s">
        <v>107</v>
      </c>
      <c r="B51" s="134" t="s">
        <v>108</v>
      </c>
      <c r="C51" s="134">
        <v>683.68</v>
      </c>
      <c r="D51" s="134">
        <v>143.58</v>
      </c>
    </row>
    <row r="52">
      <c r="A52" s="133" t="s">
        <v>109</v>
      </c>
      <c r="B52" s="133" t="s">
        <v>77</v>
      </c>
      <c r="C52" s="133">
        <v>683.68</v>
      </c>
      <c r="D52" s="133">
        <v>143.58</v>
      </c>
    </row>
    <row r="53">
      <c r="A53" s="134" t="s">
        <v>110</v>
      </c>
      <c r="B53" s="134" t="s">
        <v>77</v>
      </c>
      <c r="C53" s="134">
        <v>683.68</v>
      </c>
      <c r="D53" s="134">
        <v>143.58</v>
      </c>
    </row>
    <row r="54">
      <c r="A54" s="133" t="s">
        <v>111</v>
      </c>
      <c r="B54" s="133" t="s">
        <v>113</v>
      </c>
      <c r="C54" s="133">
        <v>683.68</v>
      </c>
      <c r="D54" s="133">
        <v>143.58</v>
      </c>
    </row>
    <row r="55">
      <c r="A55" s="134" t="s">
        <v>119</v>
      </c>
      <c r="B55" s="134" t="s">
        <v>120</v>
      </c>
      <c r="C55" s="134">
        <v>683.68</v>
      </c>
      <c r="D55" s="134">
        <v>143.58</v>
      </c>
    </row>
    <row r="56">
      <c r="A56" s="133" t="s">
        <v>121</v>
      </c>
      <c r="B56" s="133" t="s">
        <v>120</v>
      </c>
      <c r="C56" s="133">
        <v>683.68</v>
      </c>
      <c r="D56" s="133">
        <v>143.58</v>
      </c>
    </row>
    <row r="57">
      <c r="A57" s="134" t="s">
        <v>123</v>
      </c>
      <c r="B57" s="134" t="s">
        <v>120</v>
      </c>
      <c r="C57" s="134">
        <v>683.68</v>
      </c>
      <c r="D57" s="134">
        <v>143.58</v>
      </c>
    </row>
    <row r="58">
      <c r="A58" s="133" t="s">
        <v>124</v>
      </c>
      <c r="B58" s="133" t="s">
        <v>120</v>
      </c>
      <c r="C58" s="133">
        <v>683.68</v>
      </c>
      <c r="D58" s="133">
        <v>143.58</v>
      </c>
    </row>
    <row r="59">
      <c r="A59" s="134" t="s">
        <v>126</v>
      </c>
      <c r="B59" s="134" t="s">
        <v>58</v>
      </c>
      <c r="C59" s="134">
        <v>683.68</v>
      </c>
      <c r="D59" s="134">
        <v>143.58</v>
      </c>
    </row>
    <row r="60">
      <c r="A60" s="133" t="s">
        <v>127</v>
      </c>
      <c r="B60" s="133" t="s">
        <v>58</v>
      </c>
      <c r="C60" s="133">
        <v>683.68</v>
      </c>
      <c r="D60" s="133">
        <v>143.58</v>
      </c>
    </row>
    <row r="61">
      <c r="A61" s="134" t="s">
        <v>128</v>
      </c>
      <c r="B61" s="134" t="s">
        <v>62</v>
      </c>
      <c r="C61" s="134">
        <v>683.68</v>
      </c>
      <c r="D61" s="134">
        <v>143.58</v>
      </c>
    </row>
    <row r="62">
      <c r="A62" s="133" t="s">
        <v>129</v>
      </c>
      <c r="B62" s="133" t="s">
        <v>92</v>
      </c>
      <c r="C62" s="133">
        <v>683.68</v>
      </c>
      <c r="D62" s="133">
        <v>143.58</v>
      </c>
    </row>
    <row r="63">
      <c r="A63" s="134" t="s">
        <v>130</v>
      </c>
      <c r="B63" s="134" t="s">
        <v>23</v>
      </c>
      <c r="C63" s="134">
        <v>683.68</v>
      </c>
      <c r="D63" s="134">
        <v>143.58</v>
      </c>
    </row>
    <row r="64">
      <c r="A64" s="133" t="s">
        <v>132</v>
      </c>
      <c r="B64" s="133" t="s">
        <v>23</v>
      </c>
      <c r="C64" s="133">
        <v>683.68</v>
      </c>
      <c r="D64" s="133">
        <v>143.58</v>
      </c>
    </row>
    <row r="65">
      <c r="A65" s="134" t="s">
        <v>133</v>
      </c>
      <c r="B65" s="134" t="s">
        <v>77</v>
      </c>
      <c r="C65" s="134">
        <v>683.68</v>
      </c>
      <c r="D65" s="134">
        <v>143.58</v>
      </c>
    </row>
    <row r="66">
      <c r="A66" s="133" t="s">
        <v>134</v>
      </c>
      <c r="B66" s="133" t="s">
        <v>70</v>
      </c>
      <c r="C66" s="133">
        <v>683.68</v>
      </c>
      <c r="D66" s="133">
        <v>143.58</v>
      </c>
    </row>
    <row r="67">
      <c r="A67" s="134" t="s">
        <v>136</v>
      </c>
      <c r="B67" s="134" t="s">
        <v>70</v>
      </c>
      <c r="C67" s="134">
        <v>683.68</v>
      </c>
      <c r="D67" s="134">
        <v>143.58</v>
      </c>
    </row>
    <row r="68">
      <c r="A68" s="133" t="s">
        <v>137</v>
      </c>
      <c r="B68" s="133" t="s">
        <v>70</v>
      </c>
      <c r="C68" s="133">
        <v>683.68</v>
      </c>
      <c r="D68" s="133">
        <v>143.58</v>
      </c>
    </row>
    <row r="69">
      <c r="A69" s="157" t="s">
        <v>255</v>
      </c>
      <c r="B69" s="158"/>
      <c r="C69" s="160">
        <f t="shared" ref="C69:D69" si="1">SUM(C20:C68)</f>
        <v>33500.32</v>
      </c>
      <c r="D69" s="160">
        <f t="shared" si="1"/>
        <v>7035.42</v>
      </c>
    </row>
    <row r="74">
      <c r="A74" s="161" t="s">
        <v>319</v>
      </c>
      <c r="B74" s="63"/>
      <c r="C74" s="63"/>
      <c r="D74" s="63"/>
      <c r="E74" s="148"/>
      <c r="F74" s="149"/>
    </row>
    <row r="75">
      <c r="A75" s="150" t="s">
        <v>309</v>
      </c>
      <c r="B75" s="151" t="s">
        <v>310</v>
      </c>
      <c r="C75" s="151" t="s">
        <v>311</v>
      </c>
      <c r="D75" s="147" t="s">
        <v>312</v>
      </c>
      <c r="E75" s="148"/>
      <c r="F75" s="149"/>
    </row>
    <row r="76">
      <c r="A76" s="152">
        <v>46143.0</v>
      </c>
      <c r="B76" s="120">
        <v>3400.0</v>
      </c>
      <c r="C76" s="119">
        <f t="shared" ref="C76:C87" si="2">40535-Sum(B40:B76)</f>
        <v>37135</v>
      </c>
      <c r="D76" s="155" t="s">
        <v>360</v>
      </c>
      <c r="E76" s="153"/>
      <c r="F76" s="154"/>
    </row>
    <row r="77">
      <c r="A77" s="152">
        <v>46174.0</v>
      </c>
      <c r="B77" s="120">
        <v>3400.0</v>
      </c>
      <c r="C77" s="119">
        <f t="shared" si="2"/>
        <v>33735</v>
      </c>
      <c r="D77" s="155" t="s">
        <v>361</v>
      </c>
      <c r="E77" s="153"/>
      <c r="F77" s="154"/>
    </row>
    <row r="78">
      <c r="A78" s="152">
        <v>46204.0</v>
      </c>
      <c r="B78" s="120">
        <v>3400.0</v>
      </c>
      <c r="C78" s="119">
        <f t="shared" si="2"/>
        <v>30335</v>
      </c>
      <c r="D78" s="50" t="s">
        <v>362</v>
      </c>
      <c r="E78" s="153"/>
      <c r="F78" s="154"/>
    </row>
    <row r="79">
      <c r="A79" s="152">
        <v>46235.0</v>
      </c>
      <c r="B79" s="120">
        <v>3400.0</v>
      </c>
      <c r="C79" s="119">
        <f t="shared" si="2"/>
        <v>26935</v>
      </c>
      <c r="D79" s="155" t="s">
        <v>363</v>
      </c>
      <c r="E79" s="153"/>
      <c r="F79" s="154"/>
    </row>
    <row r="80">
      <c r="A80" s="152">
        <v>46266.0</v>
      </c>
      <c r="B80" s="120"/>
      <c r="C80" s="119">
        <f t="shared" si="2"/>
        <v>26935</v>
      </c>
      <c r="D80" s="156"/>
      <c r="E80" s="153"/>
      <c r="F80" s="154"/>
    </row>
    <row r="81">
      <c r="A81" s="152">
        <v>46296.0</v>
      </c>
      <c r="B81" s="120"/>
      <c r="C81" s="119">
        <f t="shared" si="2"/>
        <v>26935</v>
      </c>
      <c r="D81" s="156"/>
      <c r="E81" s="153"/>
      <c r="F81" s="154"/>
    </row>
    <row r="82">
      <c r="A82" s="152">
        <v>46327.0</v>
      </c>
      <c r="B82" s="120"/>
      <c r="C82" s="119">
        <f t="shared" si="2"/>
        <v>26935</v>
      </c>
      <c r="D82" s="156"/>
      <c r="E82" s="153"/>
      <c r="F82" s="154"/>
    </row>
    <row r="83">
      <c r="A83" s="152">
        <v>46357.0</v>
      </c>
      <c r="B83" s="120"/>
      <c r="C83" s="119">
        <f t="shared" si="2"/>
        <v>26935</v>
      </c>
      <c r="D83" s="156"/>
      <c r="E83" s="153"/>
      <c r="F83" s="154"/>
    </row>
    <row r="84">
      <c r="A84" s="152">
        <v>46388.0</v>
      </c>
      <c r="B84" s="120"/>
      <c r="C84" s="119">
        <f t="shared" si="2"/>
        <v>26935</v>
      </c>
      <c r="D84" s="156"/>
      <c r="E84" s="153"/>
      <c r="F84" s="154"/>
    </row>
    <row r="85">
      <c r="A85" s="152">
        <v>46419.0</v>
      </c>
      <c r="B85" s="120"/>
      <c r="C85" s="119">
        <f t="shared" si="2"/>
        <v>26935</v>
      </c>
      <c r="D85" s="156"/>
      <c r="E85" s="153"/>
      <c r="F85" s="154"/>
    </row>
    <row r="86">
      <c r="A86" s="152">
        <v>46447.0</v>
      </c>
      <c r="B86" s="120"/>
      <c r="C86" s="119">
        <f t="shared" si="2"/>
        <v>26935</v>
      </c>
      <c r="D86" s="156"/>
      <c r="E86" s="153"/>
      <c r="F86" s="154"/>
    </row>
    <row r="87">
      <c r="A87" s="152">
        <v>46478.0</v>
      </c>
      <c r="B87" s="129"/>
      <c r="C87" s="119">
        <f t="shared" si="2"/>
        <v>26935</v>
      </c>
      <c r="D87" s="137" t="s">
        <v>318</v>
      </c>
      <c r="E87" s="153"/>
      <c r="F87" s="154"/>
    </row>
    <row r="88">
      <c r="A88" s="6" t="s">
        <v>321</v>
      </c>
      <c r="B88" s="53">
        <f>SUM(B75:B87)</f>
        <v>13600</v>
      </c>
    </row>
  </sheetData>
  <mergeCells count="4">
    <mergeCell ref="A1:G1"/>
    <mergeCell ref="A13:D13"/>
    <mergeCell ref="A69:B69"/>
    <mergeCell ref="A74:D7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38"/>
    <col customWidth="1" min="3" max="3" width="20.63"/>
    <col customWidth="1" min="4" max="4" width="17.5"/>
  </cols>
  <sheetData>
    <row r="1">
      <c r="A1" s="111" t="s">
        <v>333</v>
      </c>
      <c r="B1" s="63"/>
      <c r="C1" s="63"/>
      <c r="D1" s="63"/>
      <c r="E1" s="63"/>
      <c r="F1" s="63"/>
      <c r="G1" s="64"/>
    </row>
    <row r="4">
      <c r="A4" s="112" t="s">
        <v>257</v>
      </c>
      <c r="B4" s="113" t="s">
        <v>337</v>
      </c>
    </row>
    <row r="5">
      <c r="A5" s="114" t="s">
        <v>259</v>
      </c>
      <c r="B5" s="167">
        <v>46179.0</v>
      </c>
    </row>
    <row r="6">
      <c r="A6" s="112" t="s">
        <v>261</v>
      </c>
      <c r="B6" s="168" t="s">
        <v>338</v>
      </c>
    </row>
    <row r="7">
      <c r="A7" s="114" t="s">
        <v>262</v>
      </c>
      <c r="B7" s="169">
        <v>1.789295203E9</v>
      </c>
    </row>
    <row r="8">
      <c r="A8" s="114" t="s">
        <v>264</v>
      </c>
      <c r="B8" s="169" t="s">
        <v>342</v>
      </c>
    </row>
    <row r="11">
      <c r="A11" s="117" t="s">
        <v>266</v>
      </c>
      <c r="B11" s="117" t="s">
        <v>267</v>
      </c>
      <c r="C11" s="117" t="s">
        <v>268</v>
      </c>
      <c r="D11" s="117" t="s">
        <v>269</v>
      </c>
      <c r="E11" s="117" t="s">
        <v>270</v>
      </c>
      <c r="F11" s="118" t="s">
        <v>271</v>
      </c>
      <c r="G11" s="118" t="s">
        <v>272</v>
      </c>
    </row>
    <row r="12">
      <c r="A12" s="119">
        <v>1.0</v>
      </c>
      <c r="B12" s="173" t="s">
        <v>344</v>
      </c>
      <c r="C12" s="137"/>
      <c r="D12" s="138"/>
      <c r="E12" s="176" t="s">
        <v>345</v>
      </c>
      <c r="F12" s="129" t="s">
        <v>346</v>
      </c>
      <c r="G12" s="129">
        <v>40000.0</v>
      </c>
    </row>
    <row r="13">
      <c r="A13" s="174" t="s">
        <v>348</v>
      </c>
      <c r="B13" s="123"/>
      <c r="C13" s="123"/>
      <c r="D13" s="124"/>
      <c r="E13" s="180" t="s">
        <v>345</v>
      </c>
    </row>
    <row r="14">
      <c r="A14" s="126"/>
      <c r="B14" s="126"/>
      <c r="C14" s="127"/>
      <c r="D14" s="128" t="s">
        <v>280</v>
      </c>
      <c r="E14" s="129">
        <v>0.0</v>
      </c>
    </row>
    <row r="15">
      <c r="A15" s="126"/>
      <c r="B15" s="126"/>
      <c r="C15" s="127"/>
      <c r="D15" s="130" t="s">
        <v>281</v>
      </c>
      <c r="E15" s="120" t="s">
        <v>345</v>
      </c>
    </row>
    <row r="19">
      <c r="A19" s="131" t="s">
        <v>29</v>
      </c>
      <c r="B19" s="131" t="s">
        <v>13</v>
      </c>
      <c r="C19" s="132" t="s">
        <v>283</v>
      </c>
      <c r="D19" s="132" t="s">
        <v>285</v>
      </c>
    </row>
    <row r="20">
      <c r="A20" s="133" t="s">
        <v>42</v>
      </c>
      <c r="B20" s="133" t="s">
        <v>44</v>
      </c>
      <c r="C20" s="133"/>
      <c r="D20" s="133"/>
    </row>
    <row r="21">
      <c r="A21" s="134" t="s">
        <v>47</v>
      </c>
      <c r="B21" s="134" t="s">
        <v>44</v>
      </c>
      <c r="C21" s="134"/>
      <c r="D21" s="134"/>
    </row>
    <row r="22">
      <c r="A22" s="133" t="s">
        <v>51</v>
      </c>
      <c r="B22" s="133" t="s">
        <v>44</v>
      </c>
      <c r="C22" s="133"/>
      <c r="D22" s="133"/>
    </row>
    <row r="23">
      <c r="A23" s="134" t="s">
        <v>55</v>
      </c>
      <c r="B23" s="134" t="s">
        <v>23</v>
      </c>
      <c r="C23" s="134"/>
      <c r="D23" s="134"/>
    </row>
    <row r="24">
      <c r="A24" s="133" t="s">
        <v>56</v>
      </c>
      <c r="B24" s="133" t="s">
        <v>23</v>
      </c>
      <c r="C24" s="133"/>
      <c r="D24" s="133"/>
    </row>
    <row r="25">
      <c r="A25" s="134" t="s">
        <v>57</v>
      </c>
      <c r="B25" s="134" t="s">
        <v>58</v>
      </c>
      <c r="C25" s="134"/>
      <c r="D25" s="134"/>
    </row>
    <row r="26">
      <c r="A26" s="133" t="s">
        <v>60</v>
      </c>
      <c r="B26" s="133" t="s">
        <v>58</v>
      </c>
      <c r="C26" s="133"/>
      <c r="D26" s="133"/>
    </row>
    <row r="27">
      <c r="A27" s="134" t="s">
        <v>61</v>
      </c>
      <c r="B27" s="134" t="s">
        <v>62</v>
      </c>
      <c r="C27" s="134"/>
      <c r="D27" s="134"/>
    </row>
    <row r="28">
      <c r="A28" s="133" t="s">
        <v>63</v>
      </c>
      <c r="B28" s="133" t="s">
        <v>62</v>
      </c>
      <c r="C28" s="133"/>
      <c r="D28" s="133"/>
    </row>
    <row r="29">
      <c r="A29" s="134" t="s">
        <v>65</v>
      </c>
      <c r="B29" s="134" t="s">
        <v>62</v>
      </c>
      <c r="C29" s="134"/>
      <c r="D29" s="134"/>
    </row>
    <row r="30">
      <c r="A30" s="133" t="s">
        <v>66</v>
      </c>
      <c r="B30" s="133" t="s">
        <v>62</v>
      </c>
      <c r="C30" s="133"/>
      <c r="D30" s="133"/>
    </row>
    <row r="31">
      <c r="A31" s="134" t="s">
        <v>67</v>
      </c>
      <c r="B31" s="134" t="s">
        <v>68</v>
      </c>
      <c r="C31" s="134"/>
      <c r="D31" s="134"/>
    </row>
    <row r="32">
      <c r="A32" s="133" t="s">
        <v>69</v>
      </c>
      <c r="B32" s="133" t="s">
        <v>70</v>
      </c>
      <c r="C32" s="133"/>
      <c r="D32" s="133"/>
    </row>
    <row r="33">
      <c r="A33" s="134" t="s">
        <v>72</v>
      </c>
      <c r="B33" s="134" t="s">
        <v>70</v>
      </c>
      <c r="C33" s="134"/>
      <c r="D33" s="134"/>
    </row>
    <row r="34">
      <c r="A34" s="133" t="s">
        <v>73</v>
      </c>
      <c r="B34" s="133" t="s">
        <v>70</v>
      </c>
      <c r="C34" s="133"/>
      <c r="D34" s="133"/>
    </row>
    <row r="35">
      <c r="A35" s="134" t="s">
        <v>74</v>
      </c>
      <c r="B35" s="134" t="s">
        <v>37</v>
      </c>
      <c r="C35" s="134"/>
      <c r="D35" s="134"/>
    </row>
    <row r="36">
      <c r="A36" s="133" t="s">
        <v>76</v>
      </c>
      <c r="B36" s="133" t="s">
        <v>37</v>
      </c>
      <c r="C36" s="133"/>
      <c r="D36" s="133"/>
    </row>
    <row r="37">
      <c r="A37" s="134" t="s">
        <v>80</v>
      </c>
      <c r="B37" s="134" t="s">
        <v>81</v>
      </c>
      <c r="C37" s="134"/>
      <c r="D37" s="134"/>
    </row>
    <row r="38">
      <c r="A38" s="133" t="s">
        <v>82</v>
      </c>
      <c r="B38" s="133" t="s">
        <v>37</v>
      </c>
      <c r="C38" s="133"/>
      <c r="D38" s="133"/>
    </row>
    <row r="39">
      <c r="A39" s="134" t="s">
        <v>83</v>
      </c>
      <c r="B39" s="134" t="s">
        <v>84</v>
      </c>
      <c r="C39" s="134"/>
      <c r="D39" s="134"/>
    </row>
    <row r="40">
      <c r="A40" s="133" t="s">
        <v>89</v>
      </c>
      <c r="B40" s="133" t="s">
        <v>84</v>
      </c>
      <c r="C40" s="133"/>
      <c r="D40" s="133"/>
    </row>
    <row r="41">
      <c r="A41" s="134" t="s">
        <v>90</v>
      </c>
      <c r="B41" s="134" t="s">
        <v>84</v>
      </c>
      <c r="C41" s="134"/>
      <c r="D41" s="134"/>
    </row>
    <row r="42">
      <c r="A42" s="133" t="s">
        <v>91</v>
      </c>
      <c r="B42" s="133" t="s">
        <v>92</v>
      </c>
      <c r="C42" s="133"/>
      <c r="D42" s="133"/>
    </row>
    <row r="43">
      <c r="A43" s="134" t="s">
        <v>94</v>
      </c>
      <c r="B43" s="134" t="s">
        <v>92</v>
      </c>
      <c r="C43" s="134"/>
      <c r="D43" s="134"/>
    </row>
    <row r="44">
      <c r="A44" s="133" t="s">
        <v>96</v>
      </c>
      <c r="B44" s="133" t="s">
        <v>92</v>
      </c>
      <c r="C44" s="133"/>
      <c r="D44" s="133"/>
    </row>
    <row r="45">
      <c r="A45" s="134" t="s">
        <v>97</v>
      </c>
      <c r="B45" s="134" t="s">
        <v>46</v>
      </c>
      <c r="C45" s="134"/>
      <c r="D45" s="134"/>
    </row>
    <row r="46">
      <c r="A46" s="133" t="s">
        <v>98</v>
      </c>
      <c r="B46" s="133" t="s">
        <v>46</v>
      </c>
      <c r="C46" s="133"/>
      <c r="D46" s="133"/>
    </row>
    <row r="47">
      <c r="A47" s="134" t="s">
        <v>99</v>
      </c>
      <c r="B47" s="134" t="s">
        <v>77</v>
      </c>
      <c r="C47" s="134"/>
      <c r="D47" s="134"/>
    </row>
    <row r="48">
      <c r="A48" s="133" t="s">
        <v>101</v>
      </c>
      <c r="B48" s="133" t="s">
        <v>102</v>
      </c>
      <c r="C48" s="133"/>
      <c r="D48" s="133"/>
    </row>
    <row r="49">
      <c r="A49" s="134" t="s">
        <v>103</v>
      </c>
      <c r="B49" s="134" t="s">
        <v>77</v>
      </c>
      <c r="C49" s="134"/>
      <c r="D49" s="134"/>
    </row>
    <row r="50">
      <c r="A50" s="133" t="s">
        <v>105</v>
      </c>
      <c r="B50" s="133" t="s">
        <v>106</v>
      </c>
      <c r="C50" s="133"/>
      <c r="D50" s="133"/>
    </row>
    <row r="51">
      <c r="A51" s="134" t="s">
        <v>107</v>
      </c>
      <c r="B51" s="134" t="s">
        <v>108</v>
      </c>
      <c r="C51" s="134"/>
      <c r="D51" s="134"/>
    </row>
    <row r="52">
      <c r="A52" s="133" t="s">
        <v>109</v>
      </c>
      <c r="B52" s="133" t="s">
        <v>77</v>
      </c>
      <c r="C52" s="133"/>
      <c r="D52" s="133"/>
    </row>
    <row r="53">
      <c r="A53" s="134" t="s">
        <v>110</v>
      </c>
      <c r="B53" s="134" t="s">
        <v>77</v>
      </c>
      <c r="C53" s="134"/>
      <c r="D53" s="134"/>
    </row>
    <row r="54">
      <c r="A54" s="133" t="s">
        <v>111</v>
      </c>
      <c r="B54" s="133" t="s">
        <v>113</v>
      </c>
      <c r="C54" s="133"/>
      <c r="D54" s="133"/>
    </row>
    <row r="55">
      <c r="A55" s="134" t="s">
        <v>119</v>
      </c>
      <c r="B55" s="134" t="s">
        <v>120</v>
      </c>
      <c r="C55" s="134"/>
      <c r="D55" s="134"/>
    </row>
    <row r="56">
      <c r="A56" s="133" t="s">
        <v>121</v>
      </c>
      <c r="B56" s="133" t="s">
        <v>120</v>
      </c>
      <c r="C56" s="133"/>
      <c r="D56" s="133"/>
    </row>
    <row r="57">
      <c r="A57" s="134" t="s">
        <v>123</v>
      </c>
      <c r="B57" s="134" t="s">
        <v>120</v>
      </c>
      <c r="C57" s="134"/>
      <c r="D57" s="134"/>
    </row>
    <row r="58">
      <c r="A58" s="133" t="s">
        <v>124</v>
      </c>
      <c r="B58" s="133" t="s">
        <v>120</v>
      </c>
      <c r="C58" s="133"/>
      <c r="D58" s="133"/>
    </row>
    <row r="59">
      <c r="A59" s="134" t="s">
        <v>126</v>
      </c>
      <c r="B59" s="134" t="s">
        <v>58</v>
      </c>
      <c r="C59" s="134"/>
      <c r="D59" s="134"/>
    </row>
    <row r="60">
      <c r="A60" s="133" t="s">
        <v>127</v>
      </c>
      <c r="B60" s="133" t="s">
        <v>58</v>
      </c>
      <c r="C60" s="133"/>
      <c r="D60" s="133"/>
    </row>
    <row r="61">
      <c r="A61" s="134" t="s">
        <v>128</v>
      </c>
      <c r="B61" s="134" t="s">
        <v>62</v>
      </c>
      <c r="C61" s="134"/>
      <c r="D61" s="134"/>
    </row>
    <row r="62">
      <c r="A62" s="133" t="s">
        <v>129</v>
      </c>
      <c r="B62" s="133" t="s">
        <v>92</v>
      </c>
      <c r="C62" s="133"/>
      <c r="D62" s="133"/>
    </row>
    <row r="63">
      <c r="A63" s="134" t="s">
        <v>130</v>
      </c>
      <c r="B63" s="134" t="s">
        <v>23</v>
      </c>
      <c r="C63" s="134"/>
      <c r="D63" s="134"/>
    </row>
    <row r="64">
      <c r="A64" s="133" t="s">
        <v>132</v>
      </c>
      <c r="B64" s="133" t="s">
        <v>23</v>
      </c>
      <c r="C64" s="133"/>
      <c r="D64" s="133"/>
    </row>
    <row r="65">
      <c r="A65" s="134" t="s">
        <v>133</v>
      </c>
      <c r="B65" s="134" t="s">
        <v>77</v>
      </c>
      <c r="C65" s="134"/>
      <c r="D65" s="134"/>
    </row>
    <row r="66">
      <c r="A66" s="133" t="s">
        <v>134</v>
      </c>
      <c r="B66" s="133" t="s">
        <v>70</v>
      </c>
      <c r="C66" s="133"/>
      <c r="D66" s="133"/>
    </row>
    <row r="67">
      <c r="A67" s="134" t="s">
        <v>136</v>
      </c>
      <c r="B67" s="134" t="s">
        <v>70</v>
      </c>
      <c r="C67" s="134"/>
      <c r="D67" s="134"/>
    </row>
    <row r="68">
      <c r="A68" s="133" t="s">
        <v>137</v>
      </c>
      <c r="B68" s="133" t="s">
        <v>70</v>
      </c>
      <c r="C68" s="133"/>
      <c r="D68" s="133"/>
    </row>
    <row r="69">
      <c r="A69" s="157" t="s">
        <v>255</v>
      </c>
      <c r="B69" s="158"/>
      <c r="C69" s="160"/>
      <c r="D69" s="160"/>
    </row>
    <row r="74">
      <c r="A74" s="161" t="s">
        <v>319</v>
      </c>
      <c r="B74" s="63"/>
      <c r="C74" s="63"/>
      <c r="D74" s="63"/>
      <c r="E74" s="148"/>
      <c r="F74" s="149"/>
    </row>
    <row r="75">
      <c r="A75" s="150" t="s">
        <v>309</v>
      </c>
      <c r="B75" s="151" t="s">
        <v>310</v>
      </c>
      <c r="C75" s="151" t="s">
        <v>311</v>
      </c>
      <c r="D75" s="147" t="s">
        <v>312</v>
      </c>
      <c r="E75" s="148"/>
      <c r="F75" s="149"/>
    </row>
    <row r="76">
      <c r="A76" s="152">
        <v>46204.0</v>
      </c>
      <c r="B76" s="120">
        <v>25000.0</v>
      </c>
      <c r="C76" s="119">
        <f t="shared" ref="C76:C88" si="1">290000-Sum(B44:B76)</f>
        <v>265000</v>
      </c>
      <c r="D76" s="52" t="s">
        <v>366</v>
      </c>
      <c r="E76" s="153"/>
      <c r="F76" s="154"/>
    </row>
    <row r="77">
      <c r="A77" s="152">
        <v>46235.0</v>
      </c>
      <c r="B77" s="120">
        <v>25000.0</v>
      </c>
      <c r="C77" s="119">
        <f t="shared" si="1"/>
        <v>240000</v>
      </c>
      <c r="D77" s="155" t="s">
        <v>367</v>
      </c>
      <c r="E77" s="153"/>
      <c r="F77" s="154"/>
    </row>
    <row r="78">
      <c r="A78" s="152">
        <v>46266.0</v>
      </c>
      <c r="B78" s="120"/>
      <c r="C78" s="119">
        <f t="shared" si="1"/>
        <v>240000</v>
      </c>
      <c r="D78" s="156"/>
      <c r="E78" s="153"/>
      <c r="F78" s="154"/>
    </row>
    <row r="79">
      <c r="A79" s="152">
        <v>46296.0</v>
      </c>
      <c r="B79" s="120"/>
      <c r="C79" s="119">
        <f t="shared" si="1"/>
        <v>240000</v>
      </c>
      <c r="D79" s="156"/>
      <c r="E79" s="153"/>
      <c r="F79" s="154"/>
    </row>
    <row r="80">
      <c r="A80" s="152">
        <v>46327.0</v>
      </c>
      <c r="B80" s="120"/>
      <c r="C80" s="119">
        <f t="shared" si="1"/>
        <v>240000</v>
      </c>
      <c r="D80" s="156"/>
      <c r="E80" s="153"/>
      <c r="F80" s="154"/>
    </row>
    <row r="81">
      <c r="A81" s="152">
        <v>46357.0</v>
      </c>
      <c r="B81" s="120"/>
      <c r="C81" s="119">
        <f t="shared" si="1"/>
        <v>240000</v>
      </c>
      <c r="D81" s="156"/>
      <c r="E81" s="153"/>
      <c r="F81" s="154"/>
    </row>
    <row r="82">
      <c r="A82" s="152">
        <v>46388.0</v>
      </c>
      <c r="B82" s="120"/>
      <c r="C82" s="119">
        <f t="shared" si="1"/>
        <v>240000</v>
      </c>
      <c r="D82" s="156"/>
      <c r="E82" s="153"/>
      <c r="F82" s="154"/>
    </row>
    <row r="83">
      <c r="A83" s="152">
        <v>46419.0</v>
      </c>
      <c r="B83" s="120"/>
      <c r="C83" s="119">
        <f t="shared" si="1"/>
        <v>240000</v>
      </c>
      <c r="D83" s="156"/>
      <c r="E83" s="153"/>
      <c r="F83" s="154"/>
    </row>
    <row r="84">
      <c r="A84" s="152">
        <v>46447.0</v>
      </c>
      <c r="B84" s="120"/>
      <c r="C84" s="119">
        <f t="shared" si="1"/>
        <v>240000</v>
      </c>
      <c r="D84" s="156"/>
      <c r="E84" s="153"/>
      <c r="F84" s="154"/>
    </row>
    <row r="85">
      <c r="A85" s="152">
        <v>46478.0</v>
      </c>
      <c r="B85" s="129"/>
      <c r="C85" s="119">
        <f t="shared" si="1"/>
        <v>240000</v>
      </c>
      <c r="D85" s="156"/>
      <c r="E85" s="153"/>
      <c r="F85" s="154"/>
    </row>
    <row r="86">
      <c r="A86" s="165">
        <v>46508.0</v>
      </c>
      <c r="B86" s="129"/>
      <c r="C86" s="119">
        <f t="shared" si="1"/>
        <v>240000</v>
      </c>
      <c r="D86" s="203"/>
      <c r="E86" s="153"/>
      <c r="F86" s="154"/>
    </row>
    <row r="87">
      <c r="A87" s="165">
        <v>46539.0</v>
      </c>
      <c r="B87" s="53"/>
      <c r="C87" s="119">
        <f t="shared" si="1"/>
        <v>240000</v>
      </c>
      <c r="D87" s="53"/>
      <c r="E87" s="153"/>
      <c r="F87" s="154"/>
    </row>
    <row r="88">
      <c r="A88" s="165">
        <v>46569.0</v>
      </c>
      <c r="B88" s="53"/>
      <c r="C88" s="119">
        <f t="shared" si="1"/>
        <v>240000</v>
      </c>
      <c r="D88" s="137" t="s">
        <v>318</v>
      </c>
      <c r="E88" s="154"/>
      <c r="F88" s="154"/>
    </row>
    <row r="89">
      <c r="A89" s="6" t="s">
        <v>321</v>
      </c>
      <c r="B89" s="120">
        <f>SUM(B76:B88)</f>
        <v>50000</v>
      </c>
      <c r="C89" s="204"/>
      <c r="E89" s="154"/>
      <c r="F89" s="154"/>
    </row>
  </sheetData>
  <mergeCells count="4">
    <mergeCell ref="A1:G1"/>
    <mergeCell ref="A13:D13"/>
    <mergeCell ref="A69:B69"/>
    <mergeCell ref="A74:D7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13"/>
    <col customWidth="1" min="3" max="4" width="20.63"/>
    <col customWidth="1" min="5" max="5" width="10.38"/>
    <col customWidth="1" min="6" max="6" width="10.25"/>
    <col customWidth="1" min="7" max="7" width="11.5"/>
  </cols>
  <sheetData>
    <row r="1">
      <c r="A1" s="170" t="s">
        <v>341</v>
      </c>
      <c r="B1" s="63"/>
      <c r="C1" s="63"/>
      <c r="D1" s="63"/>
      <c r="E1" s="63"/>
      <c r="F1" s="63"/>
      <c r="G1" s="64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77" t="s">
        <v>257</v>
      </c>
      <c r="B4" s="179" t="s">
        <v>347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81" t="s">
        <v>259</v>
      </c>
      <c r="B5" s="182">
        <v>46204.0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77" t="s">
        <v>261</v>
      </c>
      <c r="B6" s="179" t="s">
        <v>54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81" t="s">
        <v>262</v>
      </c>
      <c r="B7" s="179" t="s">
        <v>349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81" t="s">
        <v>264</v>
      </c>
      <c r="B8" s="179" t="s">
        <v>350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83" t="s">
        <v>266</v>
      </c>
      <c r="B11" s="183" t="s">
        <v>267</v>
      </c>
      <c r="C11" s="183" t="s">
        <v>268</v>
      </c>
      <c r="D11" s="183" t="s">
        <v>269</v>
      </c>
      <c r="E11" s="183" t="s">
        <v>270</v>
      </c>
      <c r="F11" s="184" t="s">
        <v>271</v>
      </c>
      <c r="G11" s="184" t="s">
        <v>272</v>
      </c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85">
        <v>1.0</v>
      </c>
      <c r="B12" s="186" t="s">
        <v>353</v>
      </c>
      <c r="C12" s="185">
        <v>1.0</v>
      </c>
      <c r="D12" s="187" t="s">
        <v>354</v>
      </c>
      <c r="E12" s="188" t="s">
        <v>354</v>
      </c>
      <c r="F12" s="188">
        <v>167000.0</v>
      </c>
      <c r="G12" s="189">
        <v>26720.0</v>
      </c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90" t="s">
        <v>355</v>
      </c>
      <c r="B13" s="63"/>
      <c r="C13" s="63"/>
      <c r="D13" s="64"/>
      <c r="E13" s="191" t="s">
        <v>354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01"/>
      <c r="C14" s="101"/>
      <c r="D14" s="192" t="s">
        <v>280</v>
      </c>
      <c r="E14" s="188">
        <v>0.0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01"/>
      <c r="C15" s="101"/>
      <c r="D15" s="192" t="s">
        <v>281</v>
      </c>
      <c r="E15" s="191" t="s">
        <v>354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93" t="s">
        <v>29</v>
      </c>
      <c r="B19" s="193" t="s">
        <v>13</v>
      </c>
      <c r="C19" s="194" t="s">
        <v>283</v>
      </c>
      <c r="D19" s="194" t="s">
        <v>285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95"/>
      <c r="B20" s="195"/>
      <c r="C20" s="196"/>
      <c r="D20" s="196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97"/>
      <c r="B21" s="197"/>
      <c r="C21" s="198"/>
      <c r="D21" s="198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95"/>
      <c r="B22" s="195"/>
      <c r="C22" s="196"/>
      <c r="D22" s="196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97"/>
      <c r="B23" s="197"/>
      <c r="C23" s="198"/>
      <c r="D23" s="198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95"/>
      <c r="B24" s="195"/>
      <c r="C24" s="196"/>
      <c r="D24" s="196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97"/>
      <c r="B25" s="197"/>
      <c r="C25" s="198"/>
      <c r="D25" s="198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95"/>
      <c r="B26" s="195"/>
      <c r="C26" s="196"/>
      <c r="D26" s="19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97"/>
      <c r="B27" s="197"/>
      <c r="C27" s="198"/>
      <c r="D27" s="198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95"/>
      <c r="B28" s="195"/>
      <c r="C28" s="196"/>
      <c r="D28" s="196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97"/>
      <c r="B29" s="197"/>
      <c r="C29" s="198"/>
      <c r="D29" s="198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95"/>
      <c r="B30" s="195"/>
      <c r="C30" s="196"/>
      <c r="D30" s="196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97"/>
      <c r="B31" s="197"/>
      <c r="C31" s="198"/>
      <c r="D31" s="198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95"/>
      <c r="B32" s="195"/>
      <c r="C32" s="196"/>
      <c r="D32" s="196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97"/>
      <c r="B33" s="197"/>
      <c r="C33" s="198"/>
      <c r="D33" s="198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95"/>
      <c r="B34" s="195"/>
      <c r="C34" s="196"/>
      <c r="D34" s="196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97"/>
      <c r="B35" s="197"/>
      <c r="C35" s="198"/>
      <c r="D35" s="198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95"/>
      <c r="B36" s="195"/>
      <c r="C36" s="196"/>
      <c r="D36" s="196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97"/>
      <c r="B37" s="197"/>
      <c r="C37" s="198"/>
      <c r="D37" s="198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95"/>
      <c r="B38" s="195"/>
      <c r="C38" s="196"/>
      <c r="D38" s="196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97"/>
      <c r="B39" s="197"/>
      <c r="C39" s="198"/>
      <c r="D39" s="198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95"/>
      <c r="B40" s="195"/>
      <c r="C40" s="196"/>
      <c r="D40" s="196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97"/>
      <c r="B41" s="197"/>
      <c r="C41" s="198"/>
      <c r="D41" s="198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95"/>
      <c r="B42" s="195"/>
      <c r="C42" s="196"/>
      <c r="D42" s="196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97"/>
      <c r="B43" s="197"/>
      <c r="C43" s="198"/>
      <c r="D43" s="198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95"/>
      <c r="B44" s="195"/>
      <c r="C44" s="196"/>
      <c r="D44" s="196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97"/>
      <c r="B45" s="197"/>
      <c r="C45" s="198"/>
      <c r="D45" s="198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95"/>
      <c r="B46" s="195"/>
      <c r="C46" s="196"/>
      <c r="D46" s="196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97"/>
      <c r="B47" s="197"/>
      <c r="C47" s="198"/>
      <c r="D47" s="198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95"/>
      <c r="B48" s="195"/>
      <c r="C48" s="196"/>
      <c r="D48" s="196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97"/>
      <c r="B49" s="197"/>
      <c r="C49" s="198"/>
      <c r="D49" s="198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95"/>
      <c r="B50" s="195"/>
      <c r="C50" s="196"/>
      <c r="D50" s="196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97"/>
      <c r="B51" s="197"/>
      <c r="C51" s="198"/>
      <c r="D51" s="198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95"/>
      <c r="B52" s="195"/>
      <c r="C52" s="196"/>
      <c r="D52" s="196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97"/>
      <c r="B53" s="197"/>
      <c r="C53" s="198"/>
      <c r="D53" s="198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95"/>
      <c r="B54" s="195"/>
      <c r="C54" s="196"/>
      <c r="D54" s="196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97"/>
      <c r="B55" s="197"/>
      <c r="C55" s="198"/>
      <c r="D55" s="198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95"/>
      <c r="B56" s="195"/>
      <c r="C56" s="196"/>
      <c r="D56" s="196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97"/>
      <c r="B57" s="197"/>
      <c r="C57" s="198"/>
      <c r="D57" s="198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95"/>
      <c r="B58" s="195"/>
      <c r="C58" s="196"/>
      <c r="D58" s="196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97"/>
      <c r="B59" s="197"/>
      <c r="C59" s="198"/>
      <c r="D59" s="198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95"/>
      <c r="B60" s="195"/>
      <c r="C60" s="196"/>
      <c r="D60" s="196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97"/>
      <c r="B61" s="197"/>
      <c r="C61" s="198"/>
      <c r="D61" s="198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95"/>
      <c r="B62" s="195"/>
      <c r="C62" s="196"/>
      <c r="D62" s="196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97"/>
      <c r="B63" s="197"/>
      <c r="C63" s="198"/>
      <c r="D63" s="198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95"/>
      <c r="B64" s="195"/>
      <c r="C64" s="196"/>
      <c r="D64" s="196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97"/>
      <c r="B65" s="197"/>
      <c r="C65" s="198"/>
      <c r="D65" s="198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95"/>
      <c r="B66" s="195"/>
      <c r="C66" s="196"/>
      <c r="D66" s="196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97"/>
      <c r="B67" s="197"/>
      <c r="C67" s="198"/>
      <c r="D67" s="198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95"/>
      <c r="B68" s="195"/>
      <c r="C68" s="196"/>
      <c r="D68" s="196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206" t="s">
        <v>255</v>
      </c>
      <c r="B69" s="158"/>
      <c r="C69" s="198"/>
      <c r="D69" s="198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207" t="s">
        <v>319</v>
      </c>
      <c r="B74" s="63"/>
      <c r="C74" s="63"/>
      <c r="D74" s="64"/>
      <c r="E74" s="208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209" t="s">
        <v>309</v>
      </c>
      <c r="B75" s="209" t="s">
        <v>310</v>
      </c>
      <c r="C75" s="209" t="s">
        <v>311</v>
      </c>
      <c r="D75" s="209" t="s">
        <v>312</v>
      </c>
      <c r="E75" s="208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210">
        <v>46235.0</v>
      </c>
      <c r="B76" s="189">
        <v>16150.0</v>
      </c>
      <c r="C76" s="185">
        <f t="shared" ref="C76:C88" si="1">193720-Sum(B44:B76)</f>
        <v>177570</v>
      </c>
      <c r="D76" s="51" t="s">
        <v>178</v>
      </c>
      <c r="E76" s="211"/>
      <c r="F76" s="212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210">
        <v>46266.0</v>
      </c>
      <c r="B77" s="213"/>
      <c r="C77" s="185">
        <f t="shared" si="1"/>
        <v>177570</v>
      </c>
      <c r="D77" s="87"/>
      <c r="E77" s="211"/>
      <c r="F77" s="212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210">
        <v>46296.0</v>
      </c>
      <c r="B78" s="213"/>
      <c r="C78" s="185">
        <f t="shared" si="1"/>
        <v>177570</v>
      </c>
      <c r="D78" s="87"/>
      <c r="E78" s="211"/>
      <c r="F78" s="212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210">
        <v>46327.0</v>
      </c>
      <c r="B79" s="213"/>
      <c r="C79" s="185">
        <f t="shared" si="1"/>
        <v>177570</v>
      </c>
      <c r="D79" s="87"/>
      <c r="E79" s="211"/>
      <c r="F79" s="212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210">
        <v>46357.0</v>
      </c>
      <c r="B80" s="213"/>
      <c r="C80" s="185">
        <f t="shared" si="1"/>
        <v>177570</v>
      </c>
      <c r="D80" s="87"/>
      <c r="E80" s="211"/>
      <c r="F80" s="212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210">
        <v>46388.0</v>
      </c>
      <c r="B81" s="213"/>
      <c r="C81" s="185">
        <f t="shared" si="1"/>
        <v>177570</v>
      </c>
      <c r="D81" s="87"/>
      <c r="E81" s="211"/>
      <c r="F81" s="212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210">
        <v>46419.0</v>
      </c>
      <c r="B82" s="213"/>
      <c r="C82" s="185">
        <f t="shared" si="1"/>
        <v>177570</v>
      </c>
      <c r="D82" s="87"/>
      <c r="E82" s="211"/>
      <c r="F82" s="212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210">
        <v>46447.0</v>
      </c>
      <c r="B83" s="213"/>
      <c r="C83" s="185">
        <f t="shared" si="1"/>
        <v>177570</v>
      </c>
      <c r="D83" s="87"/>
      <c r="E83" s="211"/>
      <c r="F83" s="212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210">
        <v>46478.0</v>
      </c>
      <c r="B84" s="213"/>
      <c r="C84" s="185">
        <f t="shared" si="1"/>
        <v>177570</v>
      </c>
      <c r="D84" s="87"/>
      <c r="E84" s="211"/>
      <c r="F84" s="212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210">
        <v>46508.0</v>
      </c>
      <c r="B85" s="213"/>
      <c r="C85" s="185">
        <f t="shared" si="1"/>
        <v>177570</v>
      </c>
      <c r="D85" s="87"/>
      <c r="E85" s="211"/>
      <c r="F85" s="212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210">
        <v>46539.0</v>
      </c>
      <c r="B86" s="213"/>
      <c r="C86" s="185">
        <f t="shared" si="1"/>
        <v>177570</v>
      </c>
      <c r="D86" s="87"/>
      <c r="E86" s="211"/>
      <c r="F86" s="212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210">
        <v>46569.0</v>
      </c>
      <c r="B87" s="87"/>
      <c r="C87" s="185">
        <f t="shared" si="1"/>
        <v>177570</v>
      </c>
      <c r="D87" s="87"/>
      <c r="E87" s="211"/>
      <c r="F87" s="212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216">
        <v>46569.0</v>
      </c>
      <c r="B88" s="87"/>
      <c r="C88" s="185">
        <f t="shared" si="1"/>
        <v>177570</v>
      </c>
      <c r="D88" s="185" t="s">
        <v>318</v>
      </c>
      <c r="E88" s="212"/>
      <c r="F88" s="212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87" t="s">
        <v>321</v>
      </c>
      <c r="B89" s="217">
        <f>SUM(B76:B88)</f>
        <v>16150</v>
      </c>
      <c r="C89" s="101"/>
      <c r="D89" s="101"/>
      <c r="E89" s="212"/>
      <c r="F89" s="212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  <row r="1001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</row>
    <row r="1002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</row>
    <row r="1003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</row>
    <row r="1004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</row>
    <row r="1005">
      <c r="A1005" s="101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</row>
  </sheetData>
  <mergeCells count="4">
    <mergeCell ref="A1:G1"/>
    <mergeCell ref="A13:D13"/>
    <mergeCell ref="A69:B69"/>
    <mergeCell ref="A74:D74"/>
  </mergeCells>
  <drawing r:id="rId1"/>
</worksheet>
</file>